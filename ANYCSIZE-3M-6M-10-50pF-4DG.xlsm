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2.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品質保証2021START\R8年1月～\28日水 Update_Windows11\R-STD-水色化\フルオートうるう年設定で改善するファイル\フルオート済\"/>
    </mc:Choice>
  </mc:AlternateContent>
  <xr:revisionPtr revIDLastSave="0" documentId="13_ncr:1_{27D0E6B9-F9B6-4C28-A81F-9747179E1C00}" xr6:coauthVersionLast="47" xr6:coauthVersionMax="47" xr10:uidLastSave="{00000000-0000-0000-0000-000000000000}"/>
  <bookViews>
    <workbookView xWindow="-24960" yWindow="825" windowWidth="21600" windowHeight="11295" xr2:uid="{93DD5207-65A5-4E64-A996-FA53C7EF3D45}"/>
  </bookViews>
  <sheets>
    <sheet name="CAPACITOR-10-50pF" sheetId="17" r:id="rId1"/>
    <sheet name="Barcode-CAPACITOR-10-50pF" sheetId="19" r:id="rId2"/>
    <sheet name="ControlSizeData" sheetId="20" state="hidden" r:id="rId3"/>
    <sheet name="ControlSizeData sample" sheetId="21" state="hidden" r:id="rId4"/>
  </sheets>
  <definedNames>
    <definedName name="_xlnm.Print_Area" localSheetId="1">'Barcode-CAPACITOR-10-50pF'!$S$1:$AF$134</definedName>
    <definedName name="_xlnm.Print_Area" localSheetId="0">'CAPACITOR-10-50pF'!$A$4:$P$95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2" i="19" l="1"/>
  <c r="O55" i="19" l="1"/>
  <c r="AF55" i="19" s="1"/>
  <c r="L55" i="19"/>
  <c r="AC55" i="19" s="1"/>
  <c r="I55" i="19"/>
  <c r="Z55" i="19" s="1"/>
  <c r="F55" i="19"/>
  <c r="W55" i="19" s="1"/>
  <c r="W56" i="19" s="1"/>
  <c r="F56" i="19" s="1"/>
  <c r="AE133" i="19"/>
  <c r="AB133" i="19"/>
  <c r="Y133" i="19"/>
  <c r="V133" i="19"/>
  <c r="S133" i="19"/>
  <c r="AE122" i="19"/>
  <c r="AB122" i="19"/>
  <c r="Y122" i="19"/>
  <c r="V122" i="19"/>
  <c r="S122" i="19"/>
  <c r="R122" i="19" s="1"/>
  <c r="AE112" i="19"/>
  <c r="AB112" i="19"/>
  <c r="Y112" i="19"/>
  <c r="V112" i="19"/>
  <c r="S112" i="19"/>
  <c r="AE102" i="19"/>
  <c r="AB102" i="19"/>
  <c r="Y102" i="19"/>
  <c r="V102" i="19"/>
  <c r="S102" i="19"/>
  <c r="R102" i="19" s="1"/>
  <c r="AE92" i="19"/>
  <c r="AB92" i="19"/>
  <c r="Y92" i="19"/>
  <c r="V92" i="19"/>
  <c r="S92" i="19"/>
  <c r="R92" i="19" s="1"/>
  <c r="AE81" i="19"/>
  <c r="AB81" i="19"/>
  <c r="Y81" i="19"/>
  <c r="V81" i="19"/>
  <c r="S81" i="19"/>
  <c r="AE71" i="19"/>
  <c r="AB71" i="19"/>
  <c r="Y71" i="19"/>
  <c r="V71" i="19"/>
  <c r="S71" i="19"/>
  <c r="R71" i="19" s="1"/>
  <c r="AE61" i="19"/>
  <c r="AB61" i="19"/>
  <c r="Y61" i="19"/>
  <c r="V61" i="19"/>
  <c r="S61" i="19"/>
  <c r="AE51" i="19"/>
  <c r="AB51" i="19"/>
  <c r="Y51" i="19"/>
  <c r="V51" i="19"/>
  <c r="S51" i="19"/>
  <c r="AE40" i="19"/>
  <c r="AB40" i="19"/>
  <c r="Y40" i="19"/>
  <c r="V40" i="19"/>
  <c r="S40" i="19"/>
  <c r="R40" i="19" s="1"/>
  <c r="AE30" i="19"/>
  <c r="AB30" i="19"/>
  <c r="Y30" i="19"/>
  <c r="V30" i="19"/>
  <c r="S30" i="19"/>
  <c r="R30" i="19" s="1"/>
  <c r="AE20" i="19"/>
  <c r="AB20" i="19"/>
  <c r="Y20" i="19"/>
  <c r="V20" i="19"/>
  <c r="S20" i="19"/>
  <c r="R20" i="19" s="1"/>
  <c r="O67" i="19"/>
  <c r="AF67" i="19" s="1"/>
  <c r="AF68" i="19" s="1"/>
  <c r="O68" i="19" s="1"/>
  <c r="L67" i="19"/>
  <c r="AC67" i="19" s="1"/>
  <c r="AC68" i="19" s="1"/>
  <c r="L68" i="19" s="1"/>
  <c r="I67" i="19"/>
  <c r="Z67" i="19" s="1"/>
  <c r="Z68" i="19" s="1"/>
  <c r="I68" i="19" s="1"/>
  <c r="F67" i="19"/>
  <c r="W67" i="19" s="1"/>
  <c r="W68" i="19" s="1"/>
  <c r="F68" i="19" s="1"/>
  <c r="C67" i="19"/>
  <c r="T67" i="19" s="1"/>
  <c r="O65" i="19"/>
  <c r="AF65" i="19" s="1"/>
  <c r="L65" i="19"/>
  <c r="AC65" i="19" s="1"/>
  <c r="I65" i="19"/>
  <c r="F65" i="19"/>
  <c r="C65" i="19"/>
  <c r="T65" i="19" s="1"/>
  <c r="O64" i="19"/>
  <c r="AF64" i="19" s="1"/>
  <c r="L64" i="19"/>
  <c r="AC64" i="19" s="1"/>
  <c r="I64" i="19"/>
  <c r="Z64" i="19" s="1"/>
  <c r="F64" i="19"/>
  <c r="W64" i="19" s="1"/>
  <c r="C64" i="19"/>
  <c r="T64" i="19" s="1"/>
  <c r="R64" i="19" s="1"/>
  <c r="O129" i="19"/>
  <c r="AF129" i="19" s="1"/>
  <c r="AF130" i="19" s="1"/>
  <c r="O130" i="19" s="1"/>
  <c r="L129" i="19"/>
  <c r="AC129" i="19" s="1"/>
  <c r="AC130" i="19" s="1"/>
  <c r="L130" i="19" s="1"/>
  <c r="I129" i="19"/>
  <c r="Z129" i="19" s="1"/>
  <c r="Z130" i="19" s="1"/>
  <c r="I130" i="19" s="1"/>
  <c r="F129" i="19"/>
  <c r="W129" i="19" s="1"/>
  <c r="W130" i="19" s="1"/>
  <c r="F130" i="19" s="1"/>
  <c r="C129" i="19"/>
  <c r="T129" i="19" s="1"/>
  <c r="O127" i="19"/>
  <c r="AF127" i="19" s="1"/>
  <c r="L127" i="19"/>
  <c r="AC127" i="19" s="1"/>
  <c r="I127" i="19"/>
  <c r="Z127" i="19" s="1"/>
  <c r="F127" i="19"/>
  <c r="W127" i="19" s="1"/>
  <c r="C127" i="19"/>
  <c r="T127" i="19" s="1"/>
  <c r="N125" i="19"/>
  <c r="AE125" i="19" s="1"/>
  <c r="K125" i="19"/>
  <c r="AB125" i="19" s="1"/>
  <c r="H125" i="19"/>
  <c r="Y125" i="19" s="1"/>
  <c r="E125" i="19"/>
  <c r="V125" i="19" s="1"/>
  <c r="B125" i="19"/>
  <c r="S125" i="19" s="1"/>
  <c r="B114" i="19"/>
  <c r="S114" i="19" s="1"/>
  <c r="O126" i="19"/>
  <c r="AF126" i="19" s="1"/>
  <c r="L126" i="19"/>
  <c r="AC126" i="19" s="1"/>
  <c r="I126" i="19"/>
  <c r="Z126" i="19" s="1"/>
  <c r="F126" i="19"/>
  <c r="W126" i="19" s="1"/>
  <c r="C126" i="19"/>
  <c r="T126" i="19" s="1"/>
  <c r="R126" i="19" s="1"/>
  <c r="O118" i="19"/>
  <c r="AF118" i="19" s="1"/>
  <c r="AF119" i="19" s="1"/>
  <c r="O119" i="19" s="1"/>
  <c r="L118" i="19"/>
  <c r="AC118" i="19" s="1"/>
  <c r="AC119" i="19" s="1"/>
  <c r="L119" i="19" s="1"/>
  <c r="I118" i="19"/>
  <c r="Z118" i="19" s="1"/>
  <c r="Z119" i="19" s="1"/>
  <c r="I119" i="19" s="1"/>
  <c r="F118" i="19"/>
  <c r="W118" i="19" s="1"/>
  <c r="W119" i="19" s="1"/>
  <c r="F119" i="19" s="1"/>
  <c r="C118" i="19"/>
  <c r="T118" i="19" s="1"/>
  <c r="O116" i="19"/>
  <c r="AF116" i="19" s="1"/>
  <c r="L116" i="19"/>
  <c r="AC116" i="19" s="1"/>
  <c r="I116" i="19"/>
  <c r="Z116" i="19" s="1"/>
  <c r="F116" i="19"/>
  <c r="W116" i="19" s="1"/>
  <c r="C116" i="19"/>
  <c r="T116" i="19" s="1"/>
  <c r="O115" i="19"/>
  <c r="AF115" i="19" s="1"/>
  <c r="L115" i="19"/>
  <c r="AC115" i="19" s="1"/>
  <c r="I115" i="19"/>
  <c r="Z115" i="19" s="1"/>
  <c r="F115" i="19"/>
  <c r="W115" i="19" s="1"/>
  <c r="C115" i="19"/>
  <c r="T115" i="19" s="1"/>
  <c r="R115" i="19" s="1"/>
  <c r="O108" i="19"/>
  <c r="AF108" i="19" s="1"/>
  <c r="AF109" i="19" s="1"/>
  <c r="O109" i="19" s="1"/>
  <c r="L108" i="19"/>
  <c r="AC108" i="19" s="1"/>
  <c r="AC109" i="19" s="1"/>
  <c r="L109" i="19" s="1"/>
  <c r="I108" i="19"/>
  <c r="Z108" i="19" s="1"/>
  <c r="Z109" i="19" s="1"/>
  <c r="I109" i="19" s="1"/>
  <c r="F108" i="19"/>
  <c r="W108" i="19" s="1"/>
  <c r="W109" i="19" s="1"/>
  <c r="F109" i="19" s="1"/>
  <c r="C108" i="19"/>
  <c r="T108" i="19" s="1"/>
  <c r="O106" i="19"/>
  <c r="AF106" i="19" s="1"/>
  <c r="L106" i="19"/>
  <c r="I106" i="19"/>
  <c r="Z106" i="19" s="1"/>
  <c r="F106" i="19"/>
  <c r="W106" i="19" s="1"/>
  <c r="C106" i="19"/>
  <c r="T106" i="19" s="1"/>
  <c r="O105" i="19"/>
  <c r="AF105" i="19" s="1"/>
  <c r="L105" i="19"/>
  <c r="AC105" i="19" s="1"/>
  <c r="I105" i="19"/>
  <c r="Z105" i="19" s="1"/>
  <c r="F105" i="19"/>
  <c r="W105" i="19" s="1"/>
  <c r="C105" i="19"/>
  <c r="T105" i="19" s="1"/>
  <c r="R105" i="19" s="1"/>
  <c r="O98" i="19"/>
  <c r="AF98" i="19" s="1"/>
  <c r="AF99" i="19" s="1"/>
  <c r="O99" i="19" s="1"/>
  <c r="L98" i="19"/>
  <c r="AC98" i="19" s="1"/>
  <c r="AC99" i="19" s="1"/>
  <c r="L99" i="19" s="1"/>
  <c r="I98" i="19"/>
  <c r="Z98" i="19" s="1"/>
  <c r="Z99" i="19" s="1"/>
  <c r="I99" i="19" s="1"/>
  <c r="F98" i="19"/>
  <c r="W98" i="19" s="1"/>
  <c r="W99" i="19" s="1"/>
  <c r="F99" i="19" s="1"/>
  <c r="C98" i="19"/>
  <c r="T98" i="19" s="1"/>
  <c r="R98" i="19" s="1"/>
  <c r="O96" i="19"/>
  <c r="AF96" i="19" s="1"/>
  <c r="AF97" i="19" s="1"/>
  <c r="L96" i="19"/>
  <c r="AC96" i="19" s="1"/>
  <c r="AC97" i="19" s="1"/>
  <c r="I96" i="19"/>
  <c r="Z96" i="19" s="1"/>
  <c r="Z97" i="19" s="1"/>
  <c r="F96" i="19"/>
  <c r="W96" i="19" s="1"/>
  <c r="W97" i="19" s="1"/>
  <c r="C96" i="19"/>
  <c r="T96" i="19" s="1"/>
  <c r="T97" i="19" s="1"/>
  <c r="O95" i="19"/>
  <c r="AF95" i="19" s="1"/>
  <c r="L95" i="19"/>
  <c r="AC95" i="19" s="1"/>
  <c r="I95" i="19"/>
  <c r="Z95" i="19" s="1"/>
  <c r="F95" i="19"/>
  <c r="W95" i="19" s="1"/>
  <c r="C95" i="19"/>
  <c r="T95" i="19" s="1"/>
  <c r="R95" i="19" s="1"/>
  <c r="O88" i="19"/>
  <c r="AF88" i="19" s="1"/>
  <c r="AF89" i="19" s="1"/>
  <c r="O89" i="19" s="1"/>
  <c r="L88" i="19"/>
  <c r="AC88" i="19" s="1"/>
  <c r="AC89" i="19" s="1"/>
  <c r="L89" i="19" s="1"/>
  <c r="I88" i="19"/>
  <c r="Z88" i="19" s="1"/>
  <c r="Z89" i="19" s="1"/>
  <c r="I89" i="19" s="1"/>
  <c r="F88" i="19"/>
  <c r="W88" i="19" s="1"/>
  <c r="W89" i="19" s="1"/>
  <c r="F89" i="19" s="1"/>
  <c r="C88" i="19"/>
  <c r="T88" i="19" s="1"/>
  <c r="R88" i="19" s="1"/>
  <c r="O86" i="19"/>
  <c r="AF86" i="19" s="1"/>
  <c r="L86" i="19"/>
  <c r="AC86" i="19" s="1"/>
  <c r="I86" i="19"/>
  <c r="Z86" i="19" s="1"/>
  <c r="F86" i="19"/>
  <c r="W86" i="19" s="1"/>
  <c r="C86" i="19"/>
  <c r="T86" i="19" s="1"/>
  <c r="O85" i="19"/>
  <c r="AF85" i="19" s="1"/>
  <c r="L85" i="19"/>
  <c r="AC85" i="19" s="1"/>
  <c r="I85" i="19"/>
  <c r="Z85" i="19" s="1"/>
  <c r="F85" i="19"/>
  <c r="W85" i="19" s="1"/>
  <c r="C85" i="19"/>
  <c r="T85" i="19" s="1"/>
  <c r="R85" i="19" s="1"/>
  <c r="O77" i="19"/>
  <c r="AF77" i="19" s="1"/>
  <c r="AF78" i="19" s="1"/>
  <c r="O78" i="19" s="1"/>
  <c r="L77" i="19"/>
  <c r="AC77" i="19" s="1"/>
  <c r="AC78" i="19" s="1"/>
  <c r="L78" i="19" s="1"/>
  <c r="I77" i="19"/>
  <c r="Z77" i="19" s="1"/>
  <c r="Z78" i="19" s="1"/>
  <c r="I78" i="19" s="1"/>
  <c r="F77" i="19"/>
  <c r="W77" i="19" s="1"/>
  <c r="W78" i="19" s="1"/>
  <c r="F78" i="19" s="1"/>
  <c r="C77" i="19"/>
  <c r="T77" i="19" s="1"/>
  <c r="O75" i="19"/>
  <c r="AF75" i="19" s="1"/>
  <c r="L75" i="19"/>
  <c r="AC75" i="19" s="1"/>
  <c r="I75" i="19"/>
  <c r="Z75" i="19" s="1"/>
  <c r="F75" i="19"/>
  <c r="W75" i="19" s="1"/>
  <c r="C75" i="19"/>
  <c r="T75" i="19" s="1"/>
  <c r="O74" i="19"/>
  <c r="AF74" i="19" s="1"/>
  <c r="L74" i="19"/>
  <c r="AC74" i="19" s="1"/>
  <c r="I74" i="19"/>
  <c r="Z74" i="19" s="1"/>
  <c r="F74" i="19"/>
  <c r="W74" i="19" s="1"/>
  <c r="C74" i="19"/>
  <c r="T74" i="19" s="1"/>
  <c r="R74" i="19" s="1"/>
  <c r="O57" i="19"/>
  <c r="AF57" i="19" s="1"/>
  <c r="AF58" i="19" s="1"/>
  <c r="O58" i="19" s="1"/>
  <c r="L57" i="19"/>
  <c r="AC57" i="19" s="1"/>
  <c r="AC58" i="19" s="1"/>
  <c r="L58" i="19" s="1"/>
  <c r="I57" i="19"/>
  <c r="Z57" i="19" s="1"/>
  <c r="Z58" i="19" s="1"/>
  <c r="I58" i="19" s="1"/>
  <c r="F57" i="19"/>
  <c r="W57" i="19" s="1"/>
  <c r="W58" i="19" s="1"/>
  <c r="F58" i="19" s="1"/>
  <c r="C57" i="19"/>
  <c r="T57" i="19" s="1"/>
  <c r="C55" i="19"/>
  <c r="T55" i="19" s="1"/>
  <c r="O54" i="19"/>
  <c r="AF54" i="19" s="1"/>
  <c r="L54" i="19"/>
  <c r="AC54" i="19" s="1"/>
  <c r="I54" i="19"/>
  <c r="Z54" i="19" s="1"/>
  <c r="F54" i="19"/>
  <c r="W54" i="19" s="1"/>
  <c r="C54" i="19"/>
  <c r="T54" i="19" s="1"/>
  <c r="R54" i="19" s="1"/>
  <c r="O50" i="19"/>
  <c r="AF50" i="19" s="1"/>
  <c r="L50" i="19"/>
  <c r="AC50" i="19" s="1"/>
  <c r="I50" i="19"/>
  <c r="Z50" i="19" s="1"/>
  <c r="F50" i="19"/>
  <c r="W50" i="19" s="1"/>
  <c r="O60" i="19"/>
  <c r="AF60" i="19" s="1"/>
  <c r="L60" i="19"/>
  <c r="AC60" i="19" s="1"/>
  <c r="I60" i="19"/>
  <c r="Z60" i="19" s="1"/>
  <c r="F60" i="19"/>
  <c r="W60" i="19" s="1"/>
  <c r="O70" i="19"/>
  <c r="AF70" i="19" s="1"/>
  <c r="L70" i="19"/>
  <c r="AC70" i="19" s="1"/>
  <c r="I70" i="19"/>
  <c r="Z70" i="19" s="1"/>
  <c r="F70" i="19"/>
  <c r="W70" i="19" s="1"/>
  <c r="O80" i="19"/>
  <c r="AF80" i="19" s="1"/>
  <c r="L80" i="19"/>
  <c r="AC80" i="19" s="1"/>
  <c r="I80" i="19"/>
  <c r="Z80" i="19" s="1"/>
  <c r="F80" i="19"/>
  <c r="W80" i="19" s="1"/>
  <c r="O91" i="19"/>
  <c r="AF91" i="19" s="1"/>
  <c r="L91" i="19"/>
  <c r="AC91" i="19" s="1"/>
  <c r="I91" i="19"/>
  <c r="Z91" i="19" s="1"/>
  <c r="F91" i="19"/>
  <c r="W91" i="19" s="1"/>
  <c r="O101" i="19"/>
  <c r="AF101" i="19" s="1"/>
  <c r="L101" i="19"/>
  <c r="AC101" i="19" s="1"/>
  <c r="I101" i="19"/>
  <c r="Z101" i="19" s="1"/>
  <c r="F101" i="19"/>
  <c r="W101" i="19" s="1"/>
  <c r="O111" i="19"/>
  <c r="AF111" i="19" s="1"/>
  <c r="L111" i="19"/>
  <c r="AC111" i="19" s="1"/>
  <c r="I111" i="19"/>
  <c r="Z111" i="19" s="1"/>
  <c r="F111" i="19"/>
  <c r="W111" i="19" s="1"/>
  <c r="O121" i="19"/>
  <c r="AF121" i="19" s="1"/>
  <c r="L121" i="19"/>
  <c r="AC121" i="19" s="1"/>
  <c r="I121" i="19"/>
  <c r="Z121" i="19" s="1"/>
  <c r="F121" i="19"/>
  <c r="W121" i="19" s="1"/>
  <c r="O132" i="19"/>
  <c r="AF132" i="19" s="1"/>
  <c r="L132" i="19"/>
  <c r="AC132" i="19" s="1"/>
  <c r="I132" i="19"/>
  <c r="Z132" i="19" s="1"/>
  <c r="F132" i="19"/>
  <c r="W132" i="19" s="1"/>
  <c r="C132" i="19"/>
  <c r="T132" i="19" s="1"/>
  <c r="C121" i="19"/>
  <c r="T121" i="19" s="1"/>
  <c r="C111" i="19"/>
  <c r="T111" i="19" s="1"/>
  <c r="C101" i="19"/>
  <c r="T101" i="19" s="1"/>
  <c r="C91" i="19"/>
  <c r="T91" i="19" s="1"/>
  <c r="C80" i="19"/>
  <c r="T80" i="19" s="1"/>
  <c r="C70" i="19"/>
  <c r="T70" i="19" s="1"/>
  <c r="C60" i="19"/>
  <c r="T60" i="19" s="1"/>
  <c r="C50" i="19"/>
  <c r="T50" i="19" s="1"/>
  <c r="O39" i="19"/>
  <c r="AF39" i="19" s="1"/>
  <c r="L39" i="19"/>
  <c r="AC39" i="19" s="1"/>
  <c r="I39" i="19"/>
  <c r="Z39" i="19" s="1"/>
  <c r="F39" i="19"/>
  <c r="W39" i="19" s="1"/>
  <c r="C39" i="19"/>
  <c r="T39" i="19" s="1"/>
  <c r="O47" i="19"/>
  <c r="AF47" i="19" s="1"/>
  <c r="AF48" i="19" s="1"/>
  <c r="O48" i="19" s="1"/>
  <c r="O45" i="19"/>
  <c r="AF45" i="19" s="1"/>
  <c r="L47" i="19"/>
  <c r="AC47" i="19" s="1"/>
  <c r="AC48" i="19" s="1"/>
  <c r="L48" i="19" s="1"/>
  <c r="L45" i="19"/>
  <c r="I47" i="19"/>
  <c r="Z47" i="19" s="1"/>
  <c r="Z48" i="19" s="1"/>
  <c r="I48" i="19" s="1"/>
  <c r="I45" i="19"/>
  <c r="Z45" i="19" s="1"/>
  <c r="F47" i="19"/>
  <c r="W47" i="19" s="1"/>
  <c r="W48" i="19" s="1"/>
  <c r="F48" i="19" s="1"/>
  <c r="F45" i="19"/>
  <c r="C47" i="19"/>
  <c r="T47" i="19" s="1"/>
  <c r="C45" i="19"/>
  <c r="T45" i="19" s="1"/>
  <c r="O44" i="19"/>
  <c r="AF44" i="19" s="1"/>
  <c r="L44" i="19"/>
  <c r="AC44" i="19" s="1"/>
  <c r="I44" i="19"/>
  <c r="Z44" i="19" s="1"/>
  <c r="F44" i="19"/>
  <c r="W44" i="19" s="1"/>
  <c r="C44" i="19"/>
  <c r="T44" i="19" s="1"/>
  <c r="R44" i="19" s="1"/>
  <c r="O36" i="19"/>
  <c r="AF36" i="19" s="1"/>
  <c r="AF37" i="19" s="1"/>
  <c r="O37" i="19" s="1"/>
  <c r="O34" i="19"/>
  <c r="AF34" i="19" s="1"/>
  <c r="L36" i="19"/>
  <c r="AC36" i="19" s="1"/>
  <c r="AC37" i="19" s="1"/>
  <c r="L37" i="19" s="1"/>
  <c r="L34" i="19"/>
  <c r="AC34" i="19" s="1"/>
  <c r="I36" i="19"/>
  <c r="Z36" i="19" s="1"/>
  <c r="Z37" i="19" s="1"/>
  <c r="I37" i="19" s="1"/>
  <c r="I34" i="19"/>
  <c r="Z34" i="19" s="1"/>
  <c r="F36" i="19"/>
  <c r="W36" i="19" s="1"/>
  <c r="W37" i="19" s="1"/>
  <c r="F37" i="19" s="1"/>
  <c r="F34" i="19"/>
  <c r="C36" i="19"/>
  <c r="T36" i="19" s="1"/>
  <c r="C34" i="19"/>
  <c r="T34" i="19" s="1"/>
  <c r="O33" i="19"/>
  <c r="AF33" i="19" s="1"/>
  <c r="L33" i="19"/>
  <c r="AC33" i="19" s="1"/>
  <c r="I33" i="19"/>
  <c r="Z33" i="19" s="1"/>
  <c r="F33" i="19"/>
  <c r="W33" i="19" s="1"/>
  <c r="C33" i="19"/>
  <c r="T33" i="19" s="1"/>
  <c r="R33" i="19" s="1"/>
  <c r="O16" i="19"/>
  <c r="AF16" i="19" s="1"/>
  <c r="AF17" i="19" s="1"/>
  <c r="O17" i="19" s="1"/>
  <c r="L16" i="19"/>
  <c r="AC16" i="19" s="1"/>
  <c r="AC17" i="19" s="1"/>
  <c r="L17" i="19" s="1"/>
  <c r="I16" i="19"/>
  <c r="Z16" i="19" s="1"/>
  <c r="Z17" i="19" s="1"/>
  <c r="I17" i="19" s="1"/>
  <c r="F16" i="19"/>
  <c r="W16" i="19" s="1"/>
  <c r="W17" i="19" s="1"/>
  <c r="F17" i="19" s="1"/>
  <c r="C16" i="19"/>
  <c r="T16" i="19" s="1"/>
  <c r="O14" i="19"/>
  <c r="AF14" i="19" s="1"/>
  <c r="L14" i="19"/>
  <c r="I14" i="19"/>
  <c r="Z14" i="19" s="1"/>
  <c r="F14" i="19"/>
  <c r="W14" i="19" s="1"/>
  <c r="C14" i="19"/>
  <c r="T14" i="19" s="1"/>
  <c r="N114" i="19"/>
  <c r="AE114" i="19" s="1"/>
  <c r="K114" i="19"/>
  <c r="AB114" i="19" s="1"/>
  <c r="H114" i="19"/>
  <c r="Y114" i="19" s="1"/>
  <c r="E114" i="19"/>
  <c r="V114" i="19" s="1"/>
  <c r="N104" i="19"/>
  <c r="AE104" i="19" s="1"/>
  <c r="K104" i="19"/>
  <c r="AB104" i="19" s="1"/>
  <c r="H104" i="19"/>
  <c r="Y104" i="19" s="1"/>
  <c r="E104" i="19"/>
  <c r="V104" i="19" s="1"/>
  <c r="B104" i="19"/>
  <c r="S104" i="19" s="1"/>
  <c r="N94" i="19"/>
  <c r="AE94" i="19" s="1"/>
  <c r="K94" i="19"/>
  <c r="AB94" i="19" s="1"/>
  <c r="H94" i="19"/>
  <c r="Y94" i="19" s="1"/>
  <c r="E94" i="19"/>
  <c r="V94" i="19" s="1"/>
  <c r="B94" i="19"/>
  <c r="S94" i="19" s="1"/>
  <c r="N84" i="19"/>
  <c r="AE84" i="19" s="1"/>
  <c r="K84" i="19"/>
  <c r="AB84" i="19" s="1"/>
  <c r="H84" i="19"/>
  <c r="Y84" i="19" s="1"/>
  <c r="E84" i="19"/>
  <c r="V84" i="19" s="1"/>
  <c r="B84" i="19"/>
  <c r="S84" i="19" s="1"/>
  <c r="N73" i="19"/>
  <c r="AE73" i="19" s="1"/>
  <c r="K73" i="19"/>
  <c r="AB73" i="19" s="1"/>
  <c r="H73" i="19"/>
  <c r="Y73" i="19" s="1"/>
  <c r="E73" i="19"/>
  <c r="V73" i="19" s="1"/>
  <c r="B73" i="19"/>
  <c r="S73" i="19" s="1"/>
  <c r="N63" i="19"/>
  <c r="AE63" i="19" s="1"/>
  <c r="K63" i="19"/>
  <c r="AB63" i="19" s="1"/>
  <c r="H63" i="19"/>
  <c r="Y63" i="19" s="1"/>
  <c r="E63" i="19"/>
  <c r="V63" i="19" s="1"/>
  <c r="B63" i="19"/>
  <c r="S63" i="19" s="1"/>
  <c r="N53" i="19"/>
  <c r="AE53" i="19" s="1"/>
  <c r="K53" i="19"/>
  <c r="AB53" i="19" s="1"/>
  <c r="H53" i="19"/>
  <c r="Y53" i="19" s="1"/>
  <c r="E53" i="19"/>
  <c r="V53" i="19" s="1"/>
  <c r="B53" i="19"/>
  <c r="S53" i="19" s="1"/>
  <c r="N43" i="19"/>
  <c r="AE43" i="19" s="1"/>
  <c r="K43" i="19"/>
  <c r="AB43" i="19" s="1"/>
  <c r="H43" i="19"/>
  <c r="Y43" i="19" s="1"/>
  <c r="E43" i="19"/>
  <c r="V43" i="19" s="1"/>
  <c r="B43" i="19"/>
  <c r="S43" i="19" s="1"/>
  <c r="N32" i="19"/>
  <c r="AE32" i="19" s="1"/>
  <c r="K32" i="19"/>
  <c r="AB32" i="19" s="1"/>
  <c r="H32" i="19"/>
  <c r="Y32" i="19" s="1"/>
  <c r="E32" i="19"/>
  <c r="V32" i="19" s="1"/>
  <c r="B32" i="19"/>
  <c r="S32" i="19" s="1"/>
  <c r="N22" i="19"/>
  <c r="AE22" i="19" s="1"/>
  <c r="K22" i="19"/>
  <c r="AB22" i="19" s="1"/>
  <c r="H22" i="19"/>
  <c r="Y22" i="19" s="1"/>
  <c r="E22" i="19"/>
  <c r="V22" i="19" s="1"/>
  <c r="B22" i="19"/>
  <c r="S22" i="19" s="1"/>
  <c r="O13" i="19"/>
  <c r="AF13" i="19" s="1"/>
  <c r="L13" i="19"/>
  <c r="AC13" i="19" s="1"/>
  <c r="I13" i="19"/>
  <c r="Z13" i="19" s="1"/>
  <c r="F13" i="19"/>
  <c r="W13" i="19" s="1"/>
  <c r="C13" i="19"/>
  <c r="T13" i="19" s="1"/>
  <c r="R13" i="19" s="1"/>
  <c r="N12" i="19"/>
  <c r="AE12" i="19" s="1"/>
  <c r="K12" i="19"/>
  <c r="AB12" i="19" s="1"/>
  <c r="H12" i="19"/>
  <c r="Y12" i="19" s="1"/>
  <c r="E12" i="19"/>
  <c r="V12" i="19" s="1"/>
  <c r="B12" i="19"/>
  <c r="S12" i="19" s="1"/>
  <c r="O26" i="19"/>
  <c r="AF26" i="19" s="1"/>
  <c r="AF27" i="19" s="1"/>
  <c r="O27" i="19" s="1"/>
  <c r="O24" i="19"/>
  <c r="AF24" i="19" s="1"/>
  <c r="O23" i="19"/>
  <c r="AF23" i="19" s="1"/>
  <c r="L26" i="19"/>
  <c r="AC26" i="19" s="1"/>
  <c r="AC27" i="19" s="1"/>
  <c r="L27" i="19" s="1"/>
  <c r="L24" i="19"/>
  <c r="AC24" i="19" s="1"/>
  <c r="L23" i="19"/>
  <c r="AC23" i="19" s="1"/>
  <c r="I26" i="19"/>
  <c r="Z26" i="19" s="1"/>
  <c r="Z27" i="19" s="1"/>
  <c r="I27" i="19" s="1"/>
  <c r="I24" i="19"/>
  <c r="Z24" i="19" s="1"/>
  <c r="I23" i="19"/>
  <c r="Z23" i="19" s="1"/>
  <c r="F26" i="19"/>
  <c r="W26" i="19" s="1"/>
  <c r="W27" i="19" s="1"/>
  <c r="F27" i="19" s="1"/>
  <c r="F24" i="19"/>
  <c r="W24" i="19" s="1"/>
  <c r="F23" i="19"/>
  <c r="W23" i="19" s="1"/>
  <c r="O29" i="19"/>
  <c r="AF29" i="19" s="1"/>
  <c r="L29" i="19"/>
  <c r="AC29" i="19" s="1"/>
  <c r="I29" i="19"/>
  <c r="Z29" i="19" s="1"/>
  <c r="F29" i="19"/>
  <c r="W29" i="19" s="1"/>
  <c r="C29" i="19"/>
  <c r="T29" i="19" s="1"/>
  <c r="C26" i="19"/>
  <c r="T26" i="19" s="1"/>
  <c r="C24" i="19"/>
  <c r="T24" i="19" s="1"/>
  <c r="C23" i="19"/>
  <c r="T23" i="19" s="1"/>
  <c r="R23" i="19" s="1"/>
  <c r="O19" i="19"/>
  <c r="AF19" i="19" s="1"/>
  <c r="L19" i="19"/>
  <c r="AC19" i="19" s="1"/>
  <c r="I19" i="19"/>
  <c r="Z19" i="19" s="1"/>
  <c r="F19" i="19"/>
  <c r="W19" i="19" s="1"/>
  <c r="C19" i="19"/>
  <c r="T19" i="19" s="1"/>
  <c r="O9" i="19"/>
  <c r="AF9" i="19" s="1"/>
  <c r="L9" i="19"/>
  <c r="AC9" i="19" s="1"/>
  <c r="I9" i="19"/>
  <c r="Z9" i="19" s="1"/>
  <c r="F9" i="19"/>
  <c r="C9" i="19"/>
  <c r="T9" i="19" s="1"/>
  <c r="O6" i="19"/>
  <c r="AF6" i="19" s="1"/>
  <c r="AF7" i="19" s="1"/>
  <c r="O7" i="19" s="1"/>
  <c r="L6" i="19"/>
  <c r="AC6" i="19" s="1"/>
  <c r="AC7" i="19" s="1"/>
  <c r="L7" i="19" s="1"/>
  <c r="I6" i="19"/>
  <c r="Z6" i="19" s="1"/>
  <c r="Z7" i="19" s="1"/>
  <c r="I7" i="19" s="1"/>
  <c r="F6" i="19"/>
  <c r="W6" i="19" s="1"/>
  <c r="W7" i="19" s="1"/>
  <c r="F7" i="19" s="1"/>
  <c r="C6" i="19"/>
  <c r="T6" i="19" s="1"/>
  <c r="O4" i="19"/>
  <c r="AF4" i="19" s="1"/>
  <c r="L4" i="19"/>
  <c r="AC4" i="19" s="1"/>
  <c r="I4" i="19"/>
  <c r="Z4" i="19" s="1"/>
  <c r="F4" i="19"/>
  <c r="C4" i="19"/>
  <c r="T4" i="19" s="1"/>
  <c r="O3" i="19"/>
  <c r="AF3" i="19" s="1"/>
  <c r="L3" i="19"/>
  <c r="AC3" i="19" s="1"/>
  <c r="I3" i="19"/>
  <c r="Z3" i="19" s="1"/>
  <c r="F3" i="19"/>
  <c r="W3" i="19" s="1"/>
  <c r="C3" i="19"/>
  <c r="T3" i="19" s="1"/>
  <c r="R3" i="19" s="1"/>
  <c r="N2" i="19"/>
  <c r="AE2" i="19" s="1"/>
  <c r="K2" i="19"/>
  <c r="AB2" i="19" s="1"/>
  <c r="H2" i="19"/>
  <c r="Y2" i="19" s="1"/>
  <c r="E2" i="19"/>
  <c r="V2" i="19" s="1"/>
  <c r="B2" i="19"/>
  <c r="S2" i="19" s="1"/>
  <c r="R133" i="19"/>
  <c r="R112" i="19"/>
  <c r="R81" i="19"/>
  <c r="R61" i="19"/>
  <c r="R51" i="19"/>
  <c r="R10" i="19"/>
  <c r="AF107" i="19" l="1"/>
  <c r="O107" i="19" s="1"/>
  <c r="AC106" i="19"/>
  <c r="AC107" i="19" s="1"/>
  <c r="L107" i="19" s="1"/>
  <c r="AC66" i="19"/>
  <c r="L66" i="19" s="1"/>
  <c r="AC45" i="19"/>
  <c r="AC46" i="19" s="1"/>
  <c r="L46" i="19" s="1"/>
  <c r="AC14" i="19"/>
  <c r="AC15" i="19" s="1"/>
  <c r="L15" i="19" s="1"/>
  <c r="Z65" i="19"/>
  <c r="Z66" i="19" s="1"/>
  <c r="I66" i="19" s="1"/>
  <c r="W128" i="19"/>
  <c r="F128" i="19" s="1"/>
  <c r="W117" i="19"/>
  <c r="F117" i="19" s="1"/>
  <c r="W107" i="19"/>
  <c r="F107" i="19" s="1"/>
  <c r="W76" i="19"/>
  <c r="F76" i="19" s="1"/>
  <c r="W65" i="19"/>
  <c r="W66" i="19" s="1"/>
  <c r="F66" i="19" s="1"/>
  <c r="W45" i="19"/>
  <c r="W46" i="19" s="1"/>
  <c r="F46" i="19" s="1"/>
  <c r="W34" i="19"/>
  <c r="W35" i="19" s="1"/>
  <c r="F35" i="19" s="1"/>
  <c r="W25" i="19"/>
  <c r="F25" i="19" s="1"/>
  <c r="W15" i="19"/>
  <c r="F15" i="19" s="1"/>
  <c r="W4" i="19"/>
  <c r="W5" i="19" s="1"/>
  <c r="F5" i="19" s="1"/>
  <c r="T87" i="19"/>
  <c r="C87" i="19" s="1"/>
  <c r="R75" i="19"/>
  <c r="Z5" i="19"/>
  <c r="I5" i="19" s="1"/>
  <c r="Z15" i="19"/>
  <c r="I15" i="19" s="1"/>
  <c r="Z25" i="19"/>
  <c r="I25" i="19" s="1"/>
  <c r="AC76" i="19"/>
  <c r="L76" i="19" s="1"/>
  <c r="AF66" i="19"/>
  <c r="O66" i="19" s="1"/>
  <c r="W87" i="19"/>
  <c r="F87" i="19" s="1"/>
  <c r="Z107" i="19"/>
  <c r="I107" i="19" s="1"/>
  <c r="Z128" i="19"/>
  <c r="I128" i="19" s="1"/>
  <c r="AC128" i="19"/>
  <c r="L128" i="19" s="1"/>
  <c r="AF128" i="19"/>
  <c r="O128" i="19" s="1"/>
  <c r="Z117" i="19"/>
  <c r="I117" i="19" s="1"/>
  <c r="AC117" i="19"/>
  <c r="L117" i="19" s="1"/>
  <c r="AF117" i="19"/>
  <c r="O117" i="19" s="1"/>
  <c r="Z87" i="19"/>
  <c r="I87" i="19" s="1"/>
  <c r="AC87" i="19"/>
  <c r="L87" i="19" s="1"/>
  <c r="AF87" i="19"/>
  <c r="O87" i="19" s="1"/>
  <c r="AF76" i="19"/>
  <c r="O76" i="19" s="1"/>
  <c r="Z76" i="19"/>
  <c r="I76" i="19" s="1"/>
  <c r="AC56" i="19"/>
  <c r="L56" i="19" s="1"/>
  <c r="Z56" i="19"/>
  <c r="I56" i="19" s="1"/>
  <c r="AF56" i="19"/>
  <c r="O56" i="19" s="1"/>
  <c r="Z46" i="19"/>
  <c r="I46" i="19" s="1"/>
  <c r="AF46" i="19"/>
  <c r="O46" i="19" s="1"/>
  <c r="AC35" i="19"/>
  <c r="L35" i="19" s="1"/>
  <c r="Z35" i="19"/>
  <c r="I35" i="19" s="1"/>
  <c r="AF35" i="19"/>
  <c r="O35" i="19" s="1"/>
  <c r="AC25" i="19"/>
  <c r="L25" i="19" s="1"/>
  <c r="AF25" i="19"/>
  <c r="O25" i="19" s="1"/>
  <c r="R24" i="19"/>
  <c r="AF15" i="19"/>
  <c r="O15" i="19" s="1"/>
  <c r="R14" i="19"/>
  <c r="AF5" i="19"/>
  <c r="O5" i="19" s="1"/>
  <c r="AC5" i="19"/>
  <c r="L5" i="19" s="1"/>
  <c r="R55" i="19"/>
  <c r="T56" i="19"/>
  <c r="C56" i="19" s="1"/>
  <c r="T76" i="19"/>
  <c r="C76" i="19" s="1"/>
  <c r="R96" i="19"/>
  <c r="T89" i="19"/>
  <c r="R86" i="19"/>
  <c r="R26" i="19"/>
  <c r="T27" i="19"/>
  <c r="T25" i="19"/>
  <c r="R16" i="19"/>
  <c r="T17" i="19"/>
  <c r="T15" i="19"/>
  <c r="T5" i="19"/>
  <c r="R4" i="19"/>
  <c r="T128" i="19"/>
  <c r="C128" i="19" s="1"/>
  <c r="R127" i="19"/>
  <c r="R129" i="19"/>
  <c r="T130" i="19"/>
  <c r="C130" i="19" s="1"/>
  <c r="T117" i="19"/>
  <c r="C117" i="19" s="1"/>
  <c r="R116" i="19"/>
  <c r="T119" i="19"/>
  <c r="C119" i="19" s="1"/>
  <c r="R118" i="19"/>
  <c r="R108" i="19"/>
  <c r="T109" i="19"/>
  <c r="C109" i="19" s="1"/>
  <c r="R106" i="19"/>
  <c r="T107" i="19"/>
  <c r="C107" i="19" s="1"/>
  <c r="T99" i="19"/>
  <c r="C99" i="19" s="1"/>
  <c r="R77" i="19"/>
  <c r="T78" i="19"/>
  <c r="C78" i="19" s="1"/>
  <c r="R65" i="19"/>
  <c r="T66" i="19"/>
  <c r="C66" i="19" s="1"/>
  <c r="R67" i="19"/>
  <c r="T68" i="19"/>
  <c r="C68" i="19" s="1"/>
  <c r="R57" i="19"/>
  <c r="T58" i="19"/>
  <c r="C58" i="19" s="1"/>
  <c r="T46" i="19"/>
  <c r="C46" i="19" s="1"/>
  <c r="R45" i="19"/>
  <c r="R47" i="19"/>
  <c r="T48" i="19"/>
  <c r="C48" i="19" s="1"/>
  <c r="R34" i="19"/>
  <c r="T35" i="19"/>
  <c r="C35" i="19" s="1"/>
  <c r="R36" i="19"/>
  <c r="T37" i="19"/>
  <c r="C37" i="19" s="1"/>
  <c r="R6" i="19"/>
  <c r="T7" i="19"/>
  <c r="W9" i="19"/>
  <c r="R87" i="19" l="1"/>
  <c r="R89" i="19"/>
  <c r="C89" i="19"/>
  <c r="R76" i="19"/>
  <c r="R56" i="19"/>
  <c r="C25" i="19"/>
  <c r="R25" i="19"/>
  <c r="C27" i="19"/>
  <c r="R27" i="19"/>
  <c r="C15" i="19"/>
  <c r="R15" i="19"/>
  <c r="C17" i="19"/>
  <c r="R17" i="19"/>
  <c r="R5" i="19"/>
  <c r="C5" i="19"/>
  <c r="R130" i="19"/>
  <c r="R128" i="19"/>
  <c r="R119" i="19"/>
  <c r="R117" i="19"/>
  <c r="R107" i="19"/>
  <c r="R109" i="19"/>
  <c r="R99" i="19"/>
  <c r="R78" i="19"/>
  <c r="R68" i="19"/>
  <c r="R66" i="19"/>
  <c r="R58" i="19"/>
  <c r="R48" i="19"/>
  <c r="R46" i="19"/>
  <c r="R37" i="19"/>
  <c r="R35" i="19"/>
  <c r="R7" i="19"/>
  <c r="C7" i="19"/>
  <c r="S7" i="17" l="1"/>
  <c r="S8" i="17"/>
  <c r="O97" i="19" l="1"/>
  <c r="F97" i="19"/>
  <c r="L97" i="19"/>
  <c r="I97" i="19"/>
  <c r="R97" i="19"/>
  <c r="C97" i="19"/>
</calcChain>
</file>

<file path=xl/sharedStrings.xml><?xml version="1.0" encoding="utf-8"?>
<sst xmlns="http://schemas.openxmlformats.org/spreadsheetml/2006/main" count="1452" uniqueCount="67">
  <si>
    <t>公称　C</t>
    <rPh sb="0" eb="2">
      <t>コウショウ</t>
    </rPh>
    <phoneticPr fontId="3"/>
  </si>
  <si>
    <t>実測　C</t>
    <rPh sb="0" eb="2">
      <t>ジッソク</t>
    </rPh>
    <phoneticPr fontId="3"/>
  </si>
  <si>
    <t>実測　D</t>
    <rPh sb="0" eb="2">
      <t>ジッソク</t>
    </rPh>
    <phoneticPr fontId="3"/>
  </si>
  <si>
    <t>作成月日</t>
    <rPh sb="0" eb="2">
      <t>サクセイ</t>
    </rPh>
    <rPh sb="2" eb="4">
      <t>ガッピ</t>
    </rPh>
    <phoneticPr fontId="3"/>
  </si>
  <si>
    <t>有効期限</t>
    <rPh sb="0" eb="2">
      <t>ユウコウ</t>
    </rPh>
    <rPh sb="2" eb="4">
      <t>キゲン</t>
    </rPh>
    <phoneticPr fontId="3"/>
  </si>
  <si>
    <t>3ヶ月後</t>
    <rPh sb="2" eb="3">
      <t>ゲツ</t>
    </rPh>
    <rPh sb="3" eb="4">
      <t>ゴ</t>
    </rPh>
    <phoneticPr fontId="3"/>
  </si>
  <si>
    <t>6ヶ月後</t>
    <rPh sb="2" eb="3">
      <t>ゲツ</t>
    </rPh>
    <rPh sb="3" eb="4">
      <t>ゴ</t>
    </rPh>
    <phoneticPr fontId="3"/>
  </si>
  <si>
    <t>使用中</t>
    <rPh sb="0" eb="2">
      <t>シヨウ</t>
    </rPh>
    <rPh sb="2" eb="3">
      <t>チュウ</t>
    </rPh>
    <phoneticPr fontId="3"/>
  </si>
  <si>
    <t>使用中</t>
    <rPh sb="0" eb="3">
      <t>シヨウチュウ</t>
    </rPh>
    <phoneticPr fontId="3"/>
  </si>
  <si>
    <t>C0603</t>
    <phoneticPr fontId="3"/>
  </si>
  <si>
    <t>C1005</t>
    <phoneticPr fontId="3"/>
  </si>
  <si>
    <t>C1608</t>
    <phoneticPr fontId="3"/>
  </si>
  <si>
    <t>C2012</t>
    <phoneticPr fontId="3"/>
  </si>
  <si>
    <t>C3216</t>
    <phoneticPr fontId="3"/>
  </si>
  <si>
    <t>10pF</t>
    <phoneticPr fontId="3"/>
  </si>
  <si>
    <t>15pF</t>
    <phoneticPr fontId="3"/>
  </si>
  <si>
    <t>50pF</t>
    <phoneticPr fontId="3"/>
  </si>
  <si>
    <t>　　　　　　　　　　　　　　　　有効期限設定</t>
    <rPh sb="16" eb="20">
      <t>ユウコウキゲン</t>
    </rPh>
    <rPh sb="20" eb="22">
      <t>セッテイ</t>
    </rPh>
    <phoneticPr fontId="3"/>
  </si>
  <si>
    <t>リミット</t>
    <phoneticPr fontId="3"/>
  </si>
  <si>
    <t>PCS</t>
    <phoneticPr fontId="3"/>
  </si>
  <si>
    <t>依頼元</t>
    <rPh sb="0" eb="3">
      <t>イライモト</t>
    </rPh>
    <phoneticPr fontId="3"/>
  </si>
  <si>
    <t>任意追加</t>
    <rPh sb="0" eb="2">
      <t>ニンイ</t>
    </rPh>
    <rPh sb="2" eb="4">
      <t>ツイカ</t>
    </rPh>
    <phoneticPr fontId="3"/>
  </si>
  <si>
    <t>➡</t>
    <phoneticPr fontId="3"/>
  </si>
  <si>
    <t>本荘先行</t>
    <rPh sb="0" eb="2">
      <t>ホンジョウ</t>
    </rPh>
    <rPh sb="2" eb="4">
      <t>センコウ</t>
    </rPh>
    <phoneticPr fontId="3"/>
  </si>
  <si>
    <t>本荘測定工程</t>
    <rPh sb="0" eb="2">
      <t>ホンジョウ</t>
    </rPh>
    <rPh sb="2" eb="4">
      <t>ソクテイ</t>
    </rPh>
    <rPh sb="4" eb="6">
      <t>コウテイ</t>
    </rPh>
    <phoneticPr fontId="3"/>
  </si>
  <si>
    <t>本荘製品検査</t>
    <rPh sb="0" eb="2">
      <t>ホンジョウ</t>
    </rPh>
    <rPh sb="2" eb="4">
      <t>セイヒン</t>
    </rPh>
    <rPh sb="4" eb="6">
      <t>ケンサ</t>
    </rPh>
    <phoneticPr fontId="3"/>
  </si>
  <si>
    <t>本荘素地検査</t>
    <rPh sb="0" eb="2">
      <t>ホンジョウ</t>
    </rPh>
    <rPh sb="2" eb="4">
      <t>ソジ</t>
    </rPh>
    <rPh sb="4" eb="6">
      <t>ケンサ</t>
    </rPh>
    <phoneticPr fontId="3"/>
  </si>
  <si>
    <t>北上素地検査</t>
    <rPh sb="0" eb="2">
      <t>キタカミ</t>
    </rPh>
    <rPh sb="2" eb="4">
      <t>ソジ</t>
    </rPh>
    <rPh sb="4" eb="6">
      <t>ケンサ</t>
    </rPh>
    <phoneticPr fontId="3"/>
  </si>
  <si>
    <t>OCK製品検査</t>
    <rPh sb="3" eb="5">
      <t>セイヒン</t>
    </rPh>
    <rPh sb="5" eb="7">
      <t>ケンサ</t>
    </rPh>
    <phoneticPr fontId="3"/>
  </si>
  <si>
    <t>OCK測定工程</t>
    <rPh sb="3" eb="5">
      <t>ソクテイ</t>
    </rPh>
    <rPh sb="5" eb="7">
      <t>コウテイ</t>
    </rPh>
    <phoneticPr fontId="3"/>
  </si>
  <si>
    <t>TCU</t>
  </si>
  <si>
    <t>蘇州</t>
    <rPh sb="0" eb="2">
      <t>ソシュウ</t>
    </rPh>
    <phoneticPr fontId="3"/>
  </si>
  <si>
    <t>月末日</t>
    <rPh sb="0" eb="2">
      <t>ゲツマツ</t>
    </rPh>
    <rPh sb="2" eb="3">
      <t>ビ</t>
    </rPh>
    <phoneticPr fontId="3"/>
  </si>
  <si>
    <t>年月日</t>
    <rPh sb="0" eb="3">
      <t>ネンガッピ</t>
    </rPh>
    <phoneticPr fontId="3"/>
  </si>
  <si>
    <t>Barcode C</t>
    <phoneticPr fontId="3"/>
  </si>
  <si>
    <t>Barcode D</t>
    <phoneticPr fontId="3"/>
  </si>
  <si>
    <t/>
  </si>
  <si>
    <t xml:space="preserve">C  STD  </t>
    <phoneticPr fontId="3"/>
  </si>
  <si>
    <t>電子印クリック後　　ここをクリック</t>
  </si>
  <si>
    <t>　測定個数設定</t>
    <rPh sb="1" eb="5">
      <t>ソクテイコスウ</t>
    </rPh>
    <rPh sb="5" eb="7">
      <t>セッテイ</t>
    </rPh>
    <phoneticPr fontId="3"/>
  </si>
  <si>
    <t xml:space="preserve">       測定個数</t>
    <rPh sb="7" eb="11">
      <t>ソクテイコスウ</t>
    </rPh>
    <phoneticPr fontId="3"/>
  </si>
  <si>
    <t>CommandButton1</t>
  </si>
  <si>
    <t>CommandButton2</t>
  </si>
  <si>
    <t>CommandButton3</t>
  </si>
  <si>
    <t>ComboBox1</t>
  </si>
  <si>
    <t>ComboBox2</t>
  </si>
  <si>
    <t>TextBox3</t>
  </si>
  <si>
    <t>TextBox4</t>
  </si>
  <si>
    <t>TextBox1</t>
  </si>
  <si>
    <t>TextBox2</t>
  </si>
  <si>
    <t>TextBox5</t>
  </si>
  <si>
    <t>CommandButton4</t>
  </si>
  <si>
    <t>TextBox6</t>
  </si>
  <si>
    <t>SpinButton1</t>
  </si>
  <si>
    <t>CommandButton5</t>
  </si>
  <si>
    <t>CommandButton6</t>
  </si>
  <si>
    <t>CommandButton7</t>
  </si>
  <si>
    <t>ComboBox3</t>
  </si>
  <si>
    <t>TextBox7</t>
  </si>
  <si>
    <t>CommandButton8</t>
  </si>
  <si>
    <t>Label1</t>
  </si>
  <si>
    <t>CommandButton9</t>
  </si>
  <si>
    <t>Label2</t>
  </si>
  <si>
    <t>Label3</t>
  </si>
  <si>
    <t>Label4</t>
  </si>
  <si>
    <t>Label5</t>
  </si>
  <si>
    <t>2026年02月05日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</si>
</sst>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0_ "/>
    <numFmt numFmtId="177" formatCode="0.0000%"/>
    <numFmt numFmtId="178" formatCode="0.00000\p\F"/>
    <numFmt numFmtId="179" formatCode="0.000\p\F"/>
    <numFmt numFmtId="180" formatCode="0\p\F"/>
    <numFmt numFmtId="181" formatCode="0.0000\p\F"/>
    <numFmt numFmtId="182" formatCode="0.00000_ "/>
    <numFmt numFmtId="183" formatCode="0_ "/>
    <numFmt numFmtId="184" formatCode="yyyy&quot;年&quot;m&quot;月&quot;d&quot;日&quot;;@"/>
    <numFmt numFmtId="185" formatCode="yyyy/m/d;@"/>
    <numFmt numFmtId="186" formatCode="0.0000000_ "/>
  </numFmts>
  <fonts count="15"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2"/>
      <name val="ＭＳ Ｐゴシック"/>
      <family val="3"/>
      <charset val="128"/>
    </font>
    <font>
      <sz val="10"/>
      <name val="ＭＳ Ｐゴシック"/>
      <family val="3"/>
      <charset val="128"/>
    </font>
    <font>
      <sz val="14"/>
      <name val="ＭＳ Ｐゴシック"/>
      <family val="3"/>
      <charset val="128"/>
    </font>
    <font>
      <b/>
      <sz val="11"/>
      <name val="ＭＳ Ｐゴシック"/>
      <family val="3"/>
      <charset val="128"/>
    </font>
    <font>
      <b/>
      <sz val="16"/>
      <name val="ＭＳ Ｐゴシック"/>
      <family val="3"/>
      <charset val="128"/>
    </font>
    <font>
      <sz val="11"/>
      <color theme="0"/>
      <name val="ＭＳ Ｐゴシック"/>
      <family val="3"/>
      <charset val="128"/>
    </font>
    <font>
      <b/>
      <sz val="14"/>
      <name val="ＭＳ Ｐゴシック"/>
      <family val="3"/>
      <charset val="128"/>
    </font>
    <font>
      <b/>
      <sz val="12"/>
      <name val="ＭＳ Ｐゴシック"/>
      <family val="3"/>
      <charset val="128"/>
    </font>
    <font>
      <sz val="20"/>
      <name val="Free 3 of 9"/>
      <family val="3"/>
    </font>
    <font>
      <sz val="12"/>
      <name val="游明朝"/>
      <family val="1"/>
      <charset val="128"/>
    </font>
    <font>
      <sz val="9"/>
      <name val="游明朝"/>
      <family val="1"/>
      <charset val="128"/>
    </font>
  </fonts>
  <fills count="4">
    <fill>
      <patternFill patternType="none"/>
    </fill>
    <fill>
      <patternFill patternType="gray125"/>
    </fill>
    <fill>
      <patternFill patternType="solid">
        <fgColor rgb="FF90FFFF"/>
        <bgColor indexed="64"/>
      </patternFill>
    </fill>
    <fill>
      <patternFill patternType="solid">
        <fgColor rgb="FFFFFFCC"/>
        <bgColor indexed="64"/>
      </patternFill>
    </fill>
  </fills>
  <borders count="2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 fillId="0" borderId="0"/>
    <xf numFmtId="0" fontId="1" fillId="0" borderId="0">
      <alignment vertical="center"/>
    </xf>
  </cellStyleXfs>
  <cellXfs count="105">
    <xf numFmtId="0" fontId="0" fillId="0" borderId="0" xfId="0"/>
    <xf numFmtId="0" fontId="5" fillId="0" borderId="4" xfId="0" applyFont="1" applyFill="1" applyBorder="1" applyAlignment="1">
      <alignment horizontal="center" vertical="center"/>
    </xf>
    <xf numFmtId="177" fontId="4" fillId="0" borderId="4" xfId="0" applyNumberFormat="1" applyFont="1" applyFill="1" applyBorder="1" applyAlignment="1">
      <alignment horizontal="center" vertical="center" wrapText="1"/>
    </xf>
    <xf numFmtId="181" fontId="5" fillId="0" borderId="4" xfId="0" applyNumberFormat="1" applyFont="1" applyFill="1" applyBorder="1" applyAlignment="1">
      <alignment horizontal="center" vertical="center"/>
    </xf>
    <xf numFmtId="0" fontId="5" fillId="0" borderId="0" xfId="0" applyFont="1" applyFill="1" applyBorder="1" applyAlignment="1">
      <alignment horizontal="center" vertical="center"/>
    </xf>
    <xf numFmtId="183" fontId="5" fillId="0" borderId="0" xfId="0" applyNumberFormat="1" applyFont="1" applyFill="1" applyBorder="1" applyAlignment="1">
      <alignment horizontal="center" vertical="center"/>
    </xf>
    <xf numFmtId="179" fontId="5" fillId="0" borderId="4" xfId="0" applyNumberFormat="1" applyFont="1" applyFill="1" applyBorder="1" applyAlignment="1">
      <alignment horizontal="center" vertical="center"/>
    </xf>
    <xf numFmtId="0" fontId="0" fillId="0" borderId="0" xfId="0" applyFont="1" applyFill="1" applyAlignment="1">
      <alignment vertical="center"/>
    </xf>
    <xf numFmtId="181" fontId="0" fillId="0" borderId="0" xfId="0" applyNumberFormat="1" applyFont="1" applyFill="1"/>
    <xf numFmtId="0" fontId="0" fillId="0" borderId="0" xfId="0" applyFont="1" applyFill="1"/>
    <xf numFmtId="180" fontId="6" fillId="0" borderId="4" xfId="0" applyNumberFormat="1" applyFont="1" applyFill="1" applyBorder="1" applyAlignment="1">
      <alignment horizontal="center" vertical="center"/>
    </xf>
    <xf numFmtId="179" fontId="0" fillId="0" borderId="0" xfId="0" applyNumberFormat="1" applyFont="1" applyFill="1"/>
    <xf numFmtId="0" fontId="0" fillId="0" borderId="0" xfId="0" applyFill="1"/>
    <xf numFmtId="0" fontId="8" fillId="0" borderId="0" xfId="0" applyFont="1" applyFill="1" applyBorder="1"/>
    <xf numFmtId="181" fontId="4" fillId="0" borderId="4" xfId="0" applyNumberFormat="1" applyFont="1" applyFill="1" applyBorder="1" applyAlignment="1">
      <alignment horizontal="center" vertical="center" wrapText="1"/>
    </xf>
    <xf numFmtId="0" fontId="0" fillId="0" borderId="0" xfId="0" applyFill="1" applyAlignment="1">
      <alignment horizontal="center" vertical="center"/>
    </xf>
    <xf numFmtId="184" fontId="6" fillId="0" borderId="0" xfId="0" applyNumberFormat="1" applyFont="1" applyFill="1" applyAlignment="1"/>
    <xf numFmtId="0" fontId="7" fillId="0" borderId="4" xfId="0" applyFont="1" applyFill="1" applyBorder="1" applyAlignment="1">
      <alignment horizontal="center" vertical="center"/>
    </xf>
    <xf numFmtId="0" fontId="0" fillId="0" borderId="4" xfId="0" applyFill="1" applyBorder="1" applyAlignment="1">
      <alignment horizontal="center"/>
    </xf>
    <xf numFmtId="0" fontId="0" fillId="0" borderId="4" xfId="0" applyFill="1" applyBorder="1"/>
    <xf numFmtId="0" fontId="0" fillId="0" borderId="1" xfId="0" applyFill="1" applyBorder="1" applyAlignment="1">
      <alignment horizontal="center"/>
    </xf>
    <xf numFmtId="181" fontId="0" fillId="0" borderId="0" xfId="0" applyNumberFormat="1" applyFill="1"/>
    <xf numFmtId="181" fontId="0" fillId="0" borderId="4" xfId="0" applyNumberFormat="1" applyFill="1" applyBorder="1"/>
    <xf numFmtId="49" fontId="5" fillId="0" borderId="4" xfId="0" applyNumberFormat="1" applyFont="1" applyFill="1" applyBorder="1" applyAlignment="1">
      <alignment horizontal="center" vertical="center"/>
    </xf>
    <xf numFmtId="0" fontId="5" fillId="0" borderId="0" xfId="0" applyFont="1" applyFill="1" applyAlignment="1">
      <alignment horizontal="center" vertical="center"/>
    </xf>
    <xf numFmtId="183" fontId="5" fillId="0" borderId="0" xfId="0" applyNumberFormat="1" applyFont="1" applyFill="1" applyAlignment="1">
      <alignment horizontal="center" vertical="center"/>
    </xf>
    <xf numFmtId="0" fontId="0" fillId="0" borderId="0" xfId="0" applyFill="1" applyAlignment="1">
      <alignment horizontal="center"/>
    </xf>
    <xf numFmtId="182" fontId="14" fillId="3" borderId="4" xfId="1" applyNumberFormat="1" applyFont="1" applyFill="1" applyBorder="1" applyAlignment="1" applyProtection="1">
      <alignment horizontal="center" vertical="center" wrapText="1"/>
    </xf>
    <xf numFmtId="0" fontId="0" fillId="0" borderId="0" xfId="0" applyFill="1" applyAlignment="1">
      <alignment horizontal="center"/>
    </xf>
    <xf numFmtId="181" fontId="0" fillId="0" borderId="0" xfId="0" applyNumberFormat="1" applyFill="1" applyAlignment="1">
      <alignment horizontal="center" vertical="center"/>
    </xf>
    <xf numFmtId="0" fontId="2" fillId="0" borderId="14" xfId="1" applyBorder="1"/>
    <xf numFmtId="0" fontId="2" fillId="0" borderId="15" xfId="1" applyBorder="1"/>
    <xf numFmtId="0" fontId="2" fillId="0" borderId="16" xfId="1" applyBorder="1"/>
    <xf numFmtId="0" fontId="2" fillId="0" borderId="0" xfId="1"/>
    <xf numFmtId="0" fontId="2" fillId="0" borderId="17" xfId="1" applyBorder="1"/>
    <xf numFmtId="0" fontId="2" fillId="0" borderId="18" xfId="1" applyBorder="1"/>
    <xf numFmtId="0" fontId="2" fillId="0" borderId="19" xfId="1" applyBorder="1"/>
    <xf numFmtId="0" fontId="2" fillId="0" borderId="20" xfId="1" applyBorder="1"/>
    <xf numFmtId="0" fontId="2" fillId="0" borderId="21" xfId="1" applyBorder="1"/>
    <xf numFmtId="0" fontId="2" fillId="0" borderId="22" xfId="1" applyBorder="1"/>
    <xf numFmtId="0" fontId="2" fillId="0" borderId="0" xfId="1" applyFill="1" applyProtection="1"/>
    <xf numFmtId="0" fontId="9" fillId="0" borderId="0" xfId="1" applyFont="1" applyFill="1" applyProtection="1"/>
    <xf numFmtId="0" fontId="9" fillId="0" borderId="11" xfId="1" applyFont="1" applyFill="1" applyBorder="1" applyProtection="1"/>
    <xf numFmtId="0" fontId="9" fillId="0" borderId="0" xfId="1" applyFont="1" applyFill="1" applyBorder="1" applyProtection="1"/>
    <xf numFmtId="0" fontId="0" fillId="0" borderId="0" xfId="0" applyFill="1" applyProtection="1"/>
    <xf numFmtId="0" fontId="0" fillId="0" borderId="5" xfId="0" applyFill="1" applyBorder="1" applyProtection="1"/>
    <xf numFmtId="0" fontId="2" fillId="0" borderId="0" xfId="1" applyFont="1" applyFill="1" applyProtection="1"/>
    <xf numFmtId="0" fontId="0" fillId="0" borderId="0" xfId="1" applyFont="1" applyAlignment="1" applyProtection="1">
      <alignment horizontal="right"/>
    </xf>
    <xf numFmtId="0" fontId="2" fillId="0" borderId="0" xfId="1" applyAlignment="1" applyProtection="1">
      <alignment horizontal="center"/>
    </xf>
    <xf numFmtId="0" fontId="5" fillId="0" borderId="4" xfId="0" applyFont="1" applyFill="1" applyBorder="1" applyAlignment="1" applyProtection="1">
      <alignment horizontal="center" vertical="center"/>
    </xf>
    <xf numFmtId="180" fontId="10" fillId="0" borderId="4" xfId="0" applyNumberFormat="1" applyFont="1" applyFill="1" applyBorder="1" applyAlignment="1" applyProtection="1">
      <alignment horizontal="center" vertical="center"/>
    </xf>
    <xf numFmtId="182" fontId="0" fillId="0" borderId="0" xfId="0" applyNumberFormat="1" applyFill="1" applyProtection="1"/>
    <xf numFmtId="182" fontId="9" fillId="0" borderId="0" xfId="1" applyNumberFormat="1" applyFont="1" applyFill="1" applyProtection="1"/>
    <xf numFmtId="180" fontId="6" fillId="0" borderId="4" xfId="0" applyNumberFormat="1" applyFont="1" applyFill="1" applyBorder="1" applyAlignment="1" applyProtection="1">
      <alignment horizontal="center" vertical="center"/>
    </xf>
    <xf numFmtId="0" fontId="0" fillId="0" borderId="8" xfId="0" applyFont="1" applyFill="1" applyBorder="1" applyProtection="1"/>
    <xf numFmtId="0" fontId="0" fillId="0" borderId="0" xfId="0" applyFont="1" applyFill="1" applyProtection="1"/>
    <xf numFmtId="178" fontId="11" fillId="0" borderId="4" xfId="0" applyNumberFormat="1" applyFont="1" applyFill="1" applyBorder="1" applyAlignment="1" applyProtection="1">
      <alignment horizontal="center" vertical="center" wrapText="1"/>
    </xf>
    <xf numFmtId="0" fontId="0" fillId="0" borderId="0" xfId="0" applyFill="1" applyAlignment="1" applyProtection="1">
      <alignment vertical="center"/>
    </xf>
    <xf numFmtId="178" fontId="0" fillId="0" borderId="0" xfId="0" applyNumberFormat="1" applyFill="1" applyProtection="1"/>
    <xf numFmtId="181" fontId="4" fillId="0" borderId="4" xfId="0" applyNumberFormat="1" applyFont="1" applyFill="1" applyBorder="1" applyAlignment="1" applyProtection="1">
      <alignment horizontal="center" vertical="center" wrapText="1"/>
    </xf>
    <xf numFmtId="0" fontId="0" fillId="0" borderId="3" xfId="0" applyFont="1" applyFill="1" applyBorder="1" applyAlignment="1" applyProtection="1">
      <alignment vertical="center"/>
    </xf>
    <xf numFmtId="0" fontId="0" fillId="0" borderId="8" xfId="0" applyFont="1" applyFill="1" applyBorder="1" applyAlignment="1" applyProtection="1">
      <alignment vertical="center"/>
    </xf>
    <xf numFmtId="0" fontId="0" fillId="0" borderId="9" xfId="0" applyFont="1" applyFill="1" applyBorder="1" applyAlignment="1" applyProtection="1">
      <alignment vertical="center"/>
    </xf>
    <xf numFmtId="178" fontId="12" fillId="0" borderId="4" xfId="0" applyNumberFormat="1" applyFont="1" applyFill="1" applyBorder="1" applyAlignment="1" applyProtection="1">
      <alignment horizontal="center" vertical="top" wrapText="1"/>
    </xf>
    <xf numFmtId="0" fontId="5" fillId="0" borderId="10" xfId="0" applyFont="1" applyFill="1" applyBorder="1" applyAlignment="1" applyProtection="1">
      <alignment horizontal="center" vertical="center"/>
    </xf>
    <xf numFmtId="178" fontId="12" fillId="0" borderId="10" xfId="1" applyNumberFormat="1" applyFont="1" applyFill="1" applyBorder="1" applyAlignment="1" applyProtection="1">
      <alignment horizontal="center" vertical="top" wrapText="1"/>
    </xf>
    <xf numFmtId="0" fontId="0" fillId="0" borderId="0" xfId="0" applyFont="1" applyFill="1" applyAlignment="1" applyProtection="1">
      <alignment vertical="center"/>
    </xf>
    <xf numFmtId="177" fontId="11" fillId="0" borderId="4" xfId="0" applyNumberFormat="1" applyFont="1" applyFill="1" applyBorder="1" applyAlignment="1" applyProtection="1">
      <alignment horizontal="center" vertical="center" wrapText="1"/>
    </xf>
    <xf numFmtId="186" fontId="0" fillId="0" borderId="0" xfId="0" applyNumberFormat="1" applyFill="1" applyProtection="1"/>
    <xf numFmtId="176" fontId="4" fillId="0" borderId="4" xfId="0" applyNumberFormat="1" applyFont="1" applyFill="1" applyBorder="1" applyAlignment="1" applyProtection="1">
      <alignment horizontal="center" vertical="center" wrapText="1"/>
    </xf>
    <xf numFmtId="178" fontId="12" fillId="0" borderId="4" xfId="1" applyNumberFormat="1" applyFont="1" applyFill="1" applyBorder="1" applyAlignment="1" applyProtection="1">
      <alignment horizontal="center" vertical="top" wrapText="1"/>
    </xf>
    <xf numFmtId="181" fontId="0" fillId="0" borderId="0" xfId="0" applyNumberFormat="1" applyFill="1" applyProtection="1"/>
    <xf numFmtId="181" fontId="5" fillId="0" borderId="4" xfId="0" applyNumberFormat="1" applyFont="1" applyFill="1" applyBorder="1" applyAlignment="1" applyProtection="1">
      <alignment horizontal="center" vertical="center"/>
    </xf>
    <xf numFmtId="183" fontId="9" fillId="0" borderId="0" xfId="1" applyNumberFormat="1" applyFont="1" applyFill="1" applyProtection="1"/>
    <xf numFmtId="181" fontId="0" fillId="0" borderId="0" xfId="0" applyNumberFormat="1" applyFont="1" applyFill="1" applyProtection="1"/>
    <xf numFmtId="178" fontId="13" fillId="0" borderId="4" xfId="1" applyNumberFormat="1" applyFont="1" applyFill="1" applyBorder="1" applyAlignment="1" applyProtection="1">
      <alignment horizontal="center" vertical="center" wrapText="1"/>
    </xf>
    <xf numFmtId="184" fontId="5" fillId="0" borderId="4" xfId="0" applyNumberFormat="1" applyFont="1" applyFill="1" applyBorder="1" applyAlignment="1" applyProtection="1">
      <alignment horizontal="center" vertical="center"/>
    </xf>
    <xf numFmtId="31" fontId="5" fillId="0" borderId="4" xfId="0" applyNumberFormat="1" applyFont="1" applyFill="1" applyBorder="1" applyAlignment="1" applyProtection="1">
      <alignment horizontal="center" vertical="center"/>
    </xf>
    <xf numFmtId="183" fontId="5" fillId="0" borderId="0" xfId="0" applyNumberFormat="1" applyFont="1" applyFill="1" applyAlignment="1" applyProtection="1">
      <alignment horizontal="center" vertical="center"/>
    </xf>
    <xf numFmtId="183" fontId="5" fillId="0" borderId="9" xfId="0" applyNumberFormat="1" applyFont="1" applyFill="1" applyBorder="1" applyAlignment="1" applyProtection="1">
      <alignment horizontal="center" vertical="center"/>
    </xf>
    <xf numFmtId="0" fontId="0" fillId="0" borderId="9" xfId="0" applyFill="1" applyBorder="1" applyAlignment="1" applyProtection="1">
      <alignment horizontal="center" vertical="center"/>
    </xf>
    <xf numFmtId="183" fontId="5" fillId="0" borderId="11" xfId="0" applyNumberFormat="1" applyFont="1" applyFill="1" applyBorder="1" applyAlignment="1" applyProtection="1">
      <alignment horizontal="center" vertical="center"/>
    </xf>
    <xf numFmtId="0" fontId="0" fillId="0" borderId="11" xfId="0" applyFont="1" applyFill="1" applyBorder="1" applyAlignment="1" applyProtection="1">
      <alignment horizontal="center" vertical="center"/>
    </xf>
    <xf numFmtId="0" fontId="0" fillId="0" borderId="9" xfId="0" applyFont="1" applyFill="1" applyBorder="1" applyAlignment="1" applyProtection="1">
      <alignment horizontal="center" vertical="center"/>
    </xf>
    <xf numFmtId="183" fontId="5" fillId="0" borderId="3" xfId="0" applyNumberFormat="1" applyFont="1" applyFill="1" applyBorder="1" applyAlignment="1" applyProtection="1">
      <alignment horizontal="center" vertical="center"/>
    </xf>
    <xf numFmtId="0" fontId="0" fillId="0" borderId="3" xfId="0" applyFill="1" applyBorder="1" applyProtection="1"/>
    <xf numFmtId="181" fontId="4" fillId="2" borderId="4" xfId="0" applyNumberFormat="1" applyFont="1" applyFill="1" applyBorder="1" applyAlignment="1">
      <alignment horizontal="center" vertical="center" wrapText="1"/>
    </xf>
    <xf numFmtId="0" fontId="4"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ill="1" applyBorder="1" applyAlignment="1">
      <alignment horizontal="center"/>
    </xf>
    <xf numFmtId="185" fontId="4" fillId="0" borderId="1" xfId="0" applyNumberFormat="1" applyFont="1" applyFill="1" applyBorder="1" applyAlignment="1">
      <alignment horizontal="center" vertical="center"/>
    </xf>
    <xf numFmtId="185" fontId="4" fillId="0" borderId="2" xfId="0" applyNumberFormat="1" applyFont="1" applyFill="1" applyBorder="1" applyAlignment="1">
      <alignment horizontal="center" vertical="center"/>
    </xf>
    <xf numFmtId="183" fontId="5" fillId="0" borderId="1" xfId="0" applyNumberFormat="1" applyFont="1" applyFill="1" applyBorder="1" applyAlignment="1" applyProtection="1">
      <alignment horizontal="center" vertical="center"/>
    </xf>
    <xf numFmtId="0" fontId="0" fillId="0" borderId="2" xfId="0" applyFont="1" applyFill="1" applyBorder="1" applyAlignment="1" applyProtection="1">
      <alignment horizontal="center" vertical="center"/>
    </xf>
    <xf numFmtId="0" fontId="4" fillId="0" borderId="1" xfId="0" applyFont="1" applyFill="1" applyBorder="1" applyAlignment="1" applyProtection="1">
      <alignment horizontal="center" vertical="center"/>
    </xf>
    <xf numFmtId="0" fontId="0" fillId="0" borderId="2" xfId="0" applyBorder="1" applyAlignment="1" applyProtection="1">
      <alignment horizontal="center" vertical="center"/>
    </xf>
    <xf numFmtId="0" fontId="4" fillId="0" borderId="1" xfId="1" applyFont="1" applyFill="1" applyBorder="1" applyAlignment="1" applyProtection="1">
      <alignment horizontal="center" vertical="center"/>
    </xf>
    <xf numFmtId="0" fontId="4" fillId="0" borderId="2" xfId="1" applyFont="1" applyFill="1" applyBorder="1" applyAlignment="1" applyProtection="1">
      <alignment horizontal="center" vertical="center"/>
    </xf>
    <xf numFmtId="183" fontId="5" fillId="0" borderId="9" xfId="0" applyNumberFormat="1" applyFont="1" applyFill="1" applyBorder="1" applyAlignment="1" applyProtection="1">
      <alignment horizontal="center" vertical="center"/>
    </xf>
    <xf numFmtId="0" fontId="0" fillId="0" borderId="9" xfId="0" applyFill="1" applyBorder="1" applyAlignment="1" applyProtection="1">
      <alignment horizontal="center" vertical="center"/>
    </xf>
    <xf numFmtId="0" fontId="4" fillId="0" borderId="6" xfId="1" applyFont="1" applyFill="1" applyBorder="1" applyAlignment="1" applyProtection="1">
      <alignment horizontal="center" vertical="center"/>
    </xf>
    <xf numFmtId="0" fontId="4" fillId="0" borderId="7" xfId="1" applyFont="1" applyFill="1" applyBorder="1" applyAlignment="1" applyProtection="1">
      <alignment horizontal="center" vertical="center"/>
    </xf>
    <xf numFmtId="0" fontId="4" fillId="0" borderId="2" xfId="0" applyFont="1" applyFill="1" applyBorder="1" applyAlignment="1" applyProtection="1">
      <alignment horizontal="center" vertical="center"/>
    </xf>
    <xf numFmtId="0" fontId="4" fillId="0" borderId="12" xfId="1" applyFont="1" applyFill="1" applyBorder="1" applyAlignment="1" applyProtection="1">
      <alignment horizontal="center" vertical="center"/>
    </xf>
    <xf numFmtId="0" fontId="4" fillId="0" borderId="13" xfId="1" applyFont="1" applyFill="1" applyBorder="1" applyAlignment="1" applyProtection="1">
      <alignment horizontal="center" vertical="center"/>
    </xf>
  </cellXfs>
  <cellStyles count="3">
    <cellStyle name="標準" xfId="0" builtinId="0"/>
    <cellStyle name="標準 2" xfId="1" xr:uid="{582D5942-F2F4-4169-8FF8-0D1F1FD17E9E}"/>
    <cellStyle name="標準 3" xfId="2" xr:uid="{44ADFFB8-80C7-4EB5-AF65-4CAF1BFDEE4F}"/>
  </cellStyles>
  <dxfs count="70">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
      <fill>
        <patternFill patternType="none">
          <bgColor indexed="65"/>
        </patternFill>
      </fill>
    </dxf>
    <dxf>
      <fill>
        <patternFill patternType="solid">
          <bgColor rgb="FFFF99FF"/>
        </patternFill>
      </fill>
    </dxf>
  </dxfs>
  <tableStyles count="0" defaultTableStyle="TableStyleMedium2" defaultPivotStyle="PivotStyleLight16"/>
  <colors>
    <mruColors>
      <color rgb="FFFF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79176FB0-B7F2-11CE-97EF-00AA006D2776}"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5" Type="http://schemas.openxmlformats.org/officeDocument/2006/relationships/image" Target="../media/image23.emf"/><Relationship Id="rId4"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114300</xdr:colOff>
          <xdr:row>1</xdr:row>
          <xdr:rowOff>9525</xdr:rowOff>
        </xdr:from>
        <xdr:to>
          <xdr:col>16</xdr:col>
          <xdr:colOff>19050</xdr:colOff>
          <xdr:row>2</xdr:row>
          <xdr:rowOff>114300</xdr:rowOff>
        </xdr:to>
        <xdr:sp macro="" textlink="">
          <xdr:nvSpPr>
            <xdr:cNvPr id="38913" name="CommandButton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647700</xdr:colOff>
          <xdr:row>1</xdr:row>
          <xdr:rowOff>28575</xdr:rowOff>
        </xdr:from>
        <xdr:to>
          <xdr:col>7</xdr:col>
          <xdr:colOff>209550</xdr:colOff>
          <xdr:row>2</xdr:row>
          <xdr:rowOff>133350</xdr:rowOff>
        </xdr:to>
        <xdr:sp macro="" textlink="">
          <xdr:nvSpPr>
            <xdr:cNvPr id="38915" name="CommandButton2" hidden="1">
              <a:extLst>
                <a:ext uri="{63B3BB69-23CF-44E3-9099-C40C66FF867C}">
                  <a14:compatExt spid="_x0000_s38915"/>
                </a:ext>
                <a:ext uri="{FF2B5EF4-FFF2-40B4-BE49-F238E27FC236}">
                  <a16:creationId xmlns:a16="http://schemas.microsoft.com/office/drawing/2014/main" id="{00000000-0008-0000-0000-000003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219075</xdr:colOff>
          <xdr:row>1</xdr:row>
          <xdr:rowOff>28575</xdr:rowOff>
        </xdr:from>
        <xdr:to>
          <xdr:col>8</xdr:col>
          <xdr:colOff>342900</xdr:colOff>
          <xdr:row>2</xdr:row>
          <xdr:rowOff>133350</xdr:rowOff>
        </xdr:to>
        <xdr:sp macro="" textlink="">
          <xdr:nvSpPr>
            <xdr:cNvPr id="38916" name="CommandButton3" hidden="1">
              <a:extLst>
                <a:ext uri="{63B3BB69-23CF-44E3-9099-C40C66FF867C}">
                  <a14:compatExt spid="_x0000_s38916"/>
                </a:ext>
                <a:ext uri="{FF2B5EF4-FFF2-40B4-BE49-F238E27FC236}">
                  <a16:creationId xmlns:a16="http://schemas.microsoft.com/office/drawing/2014/main" id="{00000000-0008-0000-00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19050</xdr:rowOff>
        </xdr:from>
        <xdr:to>
          <xdr:col>2</xdr:col>
          <xdr:colOff>895350</xdr:colOff>
          <xdr:row>2</xdr:row>
          <xdr:rowOff>19050</xdr:rowOff>
        </xdr:to>
        <xdr:sp macro="" textlink="">
          <xdr:nvSpPr>
            <xdr:cNvPr id="38924" name="ComboBox1" hidden="1">
              <a:extLst>
                <a:ext uri="{63B3BB69-23CF-44E3-9099-C40C66FF867C}">
                  <a14:compatExt spid="_x0000_s38924"/>
                </a:ext>
                <a:ext uri="{FF2B5EF4-FFF2-40B4-BE49-F238E27FC236}">
                  <a16:creationId xmlns:a16="http://schemas.microsoft.com/office/drawing/2014/main" id="{00000000-0008-0000-0000-00000C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371475</xdr:colOff>
          <xdr:row>1</xdr:row>
          <xdr:rowOff>19050</xdr:rowOff>
        </xdr:from>
        <xdr:to>
          <xdr:col>5</xdr:col>
          <xdr:colOff>628650</xdr:colOff>
          <xdr:row>2</xdr:row>
          <xdr:rowOff>19050</xdr:rowOff>
        </xdr:to>
        <xdr:sp macro="" textlink="">
          <xdr:nvSpPr>
            <xdr:cNvPr id="38925" name="ComboBox2" hidden="1">
              <a:extLst>
                <a:ext uri="{63B3BB69-23CF-44E3-9099-C40C66FF867C}">
                  <a14:compatExt spid="_x0000_s38925"/>
                </a:ext>
                <a:ext uri="{FF2B5EF4-FFF2-40B4-BE49-F238E27FC236}">
                  <a16:creationId xmlns:a16="http://schemas.microsoft.com/office/drawing/2014/main" id="{00000000-0008-0000-0000-00000D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857250</xdr:colOff>
          <xdr:row>1</xdr:row>
          <xdr:rowOff>0</xdr:rowOff>
        </xdr:to>
        <xdr:sp macro="" textlink="">
          <xdr:nvSpPr>
            <xdr:cNvPr id="38926" name="TextBox2" hidden="1">
              <a:extLst>
                <a:ext uri="{63B3BB69-23CF-44E3-9099-C40C66FF867C}">
                  <a14:compatExt spid="_x0000_s38926"/>
                </a:ext>
                <a:ext uri="{FF2B5EF4-FFF2-40B4-BE49-F238E27FC236}">
                  <a16:creationId xmlns:a16="http://schemas.microsoft.com/office/drawing/2014/main" id="{00000000-0008-0000-0000-00000E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1</xdr:row>
          <xdr:rowOff>9525</xdr:rowOff>
        </xdr:from>
        <xdr:to>
          <xdr:col>1</xdr:col>
          <xdr:colOff>619125</xdr:colOff>
          <xdr:row>2</xdr:row>
          <xdr:rowOff>114300</xdr:rowOff>
        </xdr:to>
        <xdr:sp macro="" textlink="">
          <xdr:nvSpPr>
            <xdr:cNvPr id="38927" name="TextBox3" hidden="1">
              <a:extLst>
                <a:ext uri="{63B3BB69-23CF-44E3-9099-C40C66FF867C}">
                  <a14:compatExt spid="_x0000_s38927"/>
                </a:ext>
                <a:ext uri="{FF2B5EF4-FFF2-40B4-BE49-F238E27FC236}">
                  <a16:creationId xmlns:a16="http://schemas.microsoft.com/office/drawing/2014/main" id="{00000000-0008-0000-0000-00000F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114300</xdr:colOff>
          <xdr:row>0</xdr:row>
          <xdr:rowOff>0</xdr:rowOff>
        </xdr:from>
        <xdr:to>
          <xdr:col>14</xdr:col>
          <xdr:colOff>638175</xdr:colOff>
          <xdr:row>1</xdr:row>
          <xdr:rowOff>0</xdr:rowOff>
        </xdr:to>
        <xdr:sp macro="" textlink="">
          <xdr:nvSpPr>
            <xdr:cNvPr id="38929" name="CommandButton4" hidden="1">
              <a:extLst>
                <a:ext uri="{63B3BB69-23CF-44E3-9099-C40C66FF867C}">
                  <a14:compatExt spid="_x0000_s38929"/>
                </a:ext>
                <a:ext uri="{FF2B5EF4-FFF2-40B4-BE49-F238E27FC236}">
                  <a16:creationId xmlns:a16="http://schemas.microsoft.com/office/drawing/2014/main" id="{00000000-0008-0000-0000-00001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xdr:colOff>
          <xdr:row>0</xdr:row>
          <xdr:rowOff>0</xdr:rowOff>
        </xdr:from>
        <xdr:to>
          <xdr:col>13</xdr:col>
          <xdr:colOff>95250</xdr:colOff>
          <xdr:row>1</xdr:row>
          <xdr:rowOff>0</xdr:rowOff>
        </xdr:to>
        <xdr:sp macro="" textlink="">
          <xdr:nvSpPr>
            <xdr:cNvPr id="38930" name="CommandButton5" hidden="1">
              <a:extLst>
                <a:ext uri="{63B3BB69-23CF-44E3-9099-C40C66FF867C}">
                  <a14:compatExt spid="_x0000_s38930"/>
                </a:ext>
                <a:ext uri="{FF2B5EF4-FFF2-40B4-BE49-F238E27FC236}">
                  <a16:creationId xmlns:a16="http://schemas.microsoft.com/office/drawing/2014/main" id="{00000000-0008-0000-0000-00001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xdr:colOff>
          <xdr:row>1</xdr:row>
          <xdr:rowOff>19050</xdr:rowOff>
        </xdr:from>
        <xdr:to>
          <xdr:col>13</xdr:col>
          <xdr:colOff>95250</xdr:colOff>
          <xdr:row>2</xdr:row>
          <xdr:rowOff>123825</xdr:rowOff>
        </xdr:to>
        <xdr:sp macro="" textlink="">
          <xdr:nvSpPr>
            <xdr:cNvPr id="38931" name="CommandButton6" hidden="1">
              <a:extLst>
                <a:ext uri="{63B3BB69-23CF-44E3-9099-C40C66FF867C}">
                  <a14:compatExt spid="_x0000_s38931"/>
                </a:ext>
                <a:ext uri="{FF2B5EF4-FFF2-40B4-BE49-F238E27FC236}">
                  <a16:creationId xmlns:a16="http://schemas.microsoft.com/office/drawing/2014/main" id="{00000000-0008-0000-0000-000013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609600</xdr:colOff>
          <xdr:row>0</xdr:row>
          <xdr:rowOff>0</xdr:rowOff>
        </xdr:from>
        <xdr:to>
          <xdr:col>8</xdr:col>
          <xdr:colOff>323850</xdr:colOff>
          <xdr:row>1</xdr:row>
          <xdr:rowOff>0</xdr:rowOff>
        </xdr:to>
        <xdr:sp macro="" textlink="">
          <xdr:nvSpPr>
            <xdr:cNvPr id="38932" name="TextBox1" hidden="1">
              <a:extLst>
                <a:ext uri="{63B3BB69-23CF-44E3-9099-C40C66FF867C}">
                  <a14:compatExt spid="_x0000_s38932"/>
                </a:ext>
                <a:ext uri="{FF2B5EF4-FFF2-40B4-BE49-F238E27FC236}">
                  <a16:creationId xmlns:a16="http://schemas.microsoft.com/office/drawing/2014/main" id="{00000000-0008-0000-0000-00001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885825</xdr:colOff>
          <xdr:row>1</xdr:row>
          <xdr:rowOff>9525</xdr:rowOff>
        </xdr:from>
        <xdr:to>
          <xdr:col>4</xdr:col>
          <xdr:colOff>352425</xdr:colOff>
          <xdr:row>2</xdr:row>
          <xdr:rowOff>114300</xdr:rowOff>
        </xdr:to>
        <xdr:sp macro="" textlink="">
          <xdr:nvSpPr>
            <xdr:cNvPr id="38933" name="TextBox4" hidden="1">
              <a:extLst>
                <a:ext uri="{63B3BB69-23CF-44E3-9099-C40C66FF867C}">
                  <a14:compatExt spid="_x0000_s38933"/>
                </a:ext>
                <a:ext uri="{FF2B5EF4-FFF2-40B4-BE49-F238E27FC236}">
                  <a16:creationId xmlns:a16="http://schemas.microsoft.com/office/drawing/2014/main" id="{00000000-0008-0000-0000-00001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876300</xdr:colOff>
          <xdr:row>0</xdr:row>
          <xdr:rowOff>0</xdr:rowOff>
        </xdr:from>
        <xdr:to>
          <xdr:col>5</xdr:col>
          <xdr:colOff>590550</xdr:colOff>
          <xdr:row>1</xdr:row>
          <xdr:rowOff>0</xdr:rowOff>
        </xdr:to>
        <xdr:sp macro="" textlink="">
          <xdr:nvSpPr>
            <xdr:cNvPr id="38934" name="TextBox5" hidden="1">
              <a:extLst>
                <a:ext uri="{63B3BB69-23CF-44E3-9099-C40C66FF867C}">
                  <a14:compatExt spid="_x0000_s38934"/>
                </a:ext>
                <a:ext uri="{FF2B5EF4-FFF2-40B4-BE49-F238E27FC236}">
                  <a16:creationId xmlns:a16="http://schemas.microsoft.com/office/drawing/2014/main" id="{00000000-0008-0000-0000-00001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342900</xdr:colOff>
          <xdr:row>0</xdr:row>
          <xdr:rowOff>0</xdr:rowOff>
        </xdr:from>
        <xdr:to>
          <xdr:col>11</xdr:col>
          <xdr:colOff>57150</xdr:colOff>
          <xdr:row>1</xdr:row>
          <xdr:rowOff>0</xdr:rowOff>
        </xdr:to>
        <xdr:sp macro="" textlink="">
          <xdr:nvSpPr>
            <xdr:cNvPr id="38935" name="TextBox6" hidden="1">
              <a:extLst>
                <a:ext uri="{63B3BB69-23CF-44E3-9099-C40C66FF867C}">
                  <a14:compatExt spid="_x0000_s38935"/>
                </a:ext>
                <a:ext uri="{FF2B5EF4-FFF2-40B4-BE49-F238E27FC236}">
                  <a16:creationId xmlns:a16="http://schemas.microsoft.com/office/drawing/2014/main" id="{00000000-0008-0000-0000-00001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361950</xdr:colOff>
          <xdr:row>1</xdr:row>
          <xdr:rowOff>19050</xdr:rowOff>
        </xdr:from>
        <xdr:to>
          <xdr:col>11</xdr:col>
          <xdr:colOff>76200</xdr:colOff>
          <xdr:row>2</xdr:row>
          <xdr:rowOff>123825</xdr:rowOff>
        </xdr:to>
        <xdr:sp macro="" textlink="">
          <xdr:nvSpPr>
            <xdr:cNvPr id="38936" name="SpinButton1" hidden="1">
              <a:extLst>
                <a:ext uri="{63B3BB69-23CF-44E3-9099-C40C66FF867C}">
                  <a14:compatExt spid="_x0000_s38936"/>
                </a:ext>
                <a:ext uri="{FF2B5EF4-FFF2-40B4-BE49-F238E27FC236}">
                  <a16:creationId xmlns:a16="http://schemas.microsoft.com/office/drawing/2014/main" id="{00000000-0008-0000-0000-00001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114300</xdr:colOff>
          <xdr:row>2</xdr:row>
          <xdr:rowOff>123825</xdr:rowOff>
        </xdr:from>
        <xdr:to>
          <xdr:col>16</xdr:col>
          <xdr:colOff>19050</xdr:colOff>
          <xdr:row>2</xdr:row>
          <xdr:rowOff>542925</xdr:rowOff>
        </xdr:to>
        <xdr:sp macro="" textlink="">
          <xdr:nvSpPr>
            <xdr:cNvPr id="38937" name="CommandButton7" hidden="1">
              <a:extLst>
                <a:ext uri="{63B3BB69-23CF-44E3-9099-C40C66FF867C}">
                  <a14:compatExt spid="_x0000_s38937"/>
                </a:ext>
                <a:ext uri="{FF2B5EF4-FFF2-40B4-BE49-F238E27FC236}">
                  <a16:creationId xmlns:a16="http://schemas.microsoft.com/office/drawing/2014/main" id="{00000000-0008-0000-0000-00001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2</xdr:row>
          <xdr:rowOff>133350</xdr:rowOff>
        </xdr:from>
        <xdr:to>
          <xdr:col>2</xdr:col>
          <xdr:colOff>885825</xdr:colOff>
          <xdr:row>2</xdr:row>
          <xdr:rowOff>552450</xdr:rowOff>
        </xdr:to>
        <xdr:sp macro="" textlink="">
          <xdr:nvSpPr>
            <xdr:cNvPr id="38938" name="ComboBox3" hidden="1">
              <a:extLst>
                <a:ext uri="{63B3BB69-23CF-44E3-9099-C40C66FF867C}">
                  <a14:compatExt spid="_x0000_s38938"/>
                </a:ext>
                <a:ext uri="{FF2B5EF4-FFF2-40B4-BE49-F238E27FC236}">
                  <a16:creationId xmlns:a16="http://schemas.microsoft.com/office/drawing/2014/main" id="{00000000-0008-0000-0000-00001A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885825</xdr:colOff>
          <xdr:row>2</xdr:row>
          <xdr:rowOff>123825</xdr:rowOff>
        </xdr:from>
        <xdr:to>
          <xdr:col>5</xdr:col>
          <xdr:colOff>609600</xdr:colOff>
          <xdr:row>2</xdr:row>
          <xdr:rowOff>542925</xdr:rowOff>
        </xdr:to>
        <xdr:sp macro="" textlink="">
          <xdr:nvSpPr>
            <xdr:cNvPr id="38939" name="TextBox7" hidden="1">
              <a:extLst>
                <a:ext uri="{63B3BB69-23CF-44E3-9099-C40C66FF867C}">
                  <a14:compatExt spid="_x0000_s38939"/>
                </a:ext>
                <a:ext uri="{FF2B5EF4-FFF2-40B4-BE49-F238E27FC236}">
                  <a16:creationId xmlns:a16="http://schemas.microsoft.com/office/drawing/2014/main" id="{00000000-0008-0000-0000-00001B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397933</xdr:colOff>
      <xdr:row>8</xdr:row>
      <xdr:rowOff>101600</xdr:rowOff>
    </xdr:from>
    <xdr:to>
      <xdr:col>19</xdr:col>
      <xdr:colOff>42333</xdr:colOff>
      <xdr:row>8</xdr:row>
      <xdr:rowOff>618067</xdr:rowOff>
    </xdr:to>
    <xdr:sp macro="" textlink="">
      <xdr:nvSpPr>
        <xdr:cNvPr id="2" name="矢印: 下 1">
          <a:extLst>
            <a:ext uri="{FF2B5EF4-FFF2-40B4-BE49-F238E27FC236}">
              <a16:creationId xmlns:a16="http://schemas.microsoft.com/office/drawing/2014/main" id="{929479BE-0810-5E0B-A825-56016390B0B9}"/>
            </a:ext>
          </a:extLst>
        </xdr:cNvPr>
        <xdr:cNvSpPr/>
      </xdr:nvSpPr>
      <xdr:spPr>
        <a:xfrm>
          <a:off x="10297583" y="2374900"/>
          <a:ext cx="254000" cy="516467"/>
        </a:xfrm>
        <a:prstGeom prst="downArrow">
          <a:avLst/>
        </a:prstGeom>
        <a:noFill/>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mc:AlternateContent xmlns:mc="http://schemas.openxmlformats.org/markup-compatibility/2006">
    <mc:Choice xmlns:a14="http://schemas.microsoft.com/office/drawing/2010/main" Requires="a14">
      <xdr:twoCellAnchor editAs="absolute">
        <xdr:from>
          <xdr:col>14</xdr:col>
          <xdr:colOff>657225</xdr:colOff>
          <xdr:row>0</xdr:row>
          <xdr:rowOff>0</xdr:rowOff>
        </xdr:from>
        <xdr:to>
          <xdr:col>16</xdr:col>
          <xdr:colOff>19050</xdr:colOff>
          <xdr:row>1</xdr:row>
          <xdr:rowOff>0</xdr:rowOff>
        </xdr:to>
        <xdr:sp macro="" textlink="">
          <xdr:nvSpPr>
            <xdr:cNvPr id="38984" name="CommandButton8" hidden="1">
              <a:extLst>
                <a:ext uri="{63B3BB69-23CF-44E3-9099-C40C66FF867C}">
                  <a14:compatExt spid="_x0000_s38984"/>
                </a:ext>
                <a:ext uri="{FF2B5EF4-FFF2-40B4-BE49-F238E27FC236}">
                  <a16:creationId xmlns:a16="http://schemas.microsoft.com/office/drawing/2014/main" id="{00000000-0008-0000-0000-00004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0</xdr:row>
          <xdr:rowOff>57150</xdr:rowOff>
        </xdr:from>
        <xdr:to>
          <xdr:col>20</xdr:col>
          <xdr:colOff>38100</xdr:colOff>
          <xdr:row>2</xdr:row>
          <xdr:rowOff>161925</xdr:rowOff>
        </xdr:to>
        <xdr:sp macro="" textlink="">
          <xdr:nvSpPr>
            <xdr:cNvPr id="39299" name="Label1" hidden="1">
              <a:extLst>
                <a:ext uri="{63B3BB69-23CF-44E3-9099-C40C66FF867C}">
                  <a14:compatExt spid="_x0000_s39299"/>
                </a:ext>
                <a:ext uri="{FF2B5EF4-FFF2-40B4-BE49-F238E27FC236}">
                  <a16:creationId xmlns:a16="http://schemas.microsoft.com/office/drawing/2014/main" id="{00000000-0008-0000-0000-0000839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442232</xdr:colOff>
      <xdr:row>0</xdr:row>
      <xdr:rowOff>156330</xdr:rowOff>
    </xdr:from>
    <xdr:to>
      <xdr:col>19</xdr:col>
      <xdr:colOff>340633</xdr:colOff>
      <xdr:row>2</xdr:row>
      <xdr:rowOff>9524</xdr:rowOff>
    </xdr:to>
    <xdr:sp macro="" textlink="">
      <xdr:nvSpPr>
        <xdr:cNvPr id="3" name="正方形/長方形 2">
          <a:extLst>
            <a:ext uri="{FF2B5EF4-FFF2-40B4-BE49-F238E27FC236}">
              <a16:creationId xmlns:a16="http://schemas.microsoft.com/office/drawing/2014/main" id="{885F2781-B608-6963-4C75-4FA7D5B20405}"/>
            </a:ext>
          </a:extLst>
        </xdr:cNvPr>
        <xdr:cNvSpPr/>
      </xdr:nvSpPr>
      <xdr:spPr>
        <a:xfrm>
          <a:off x="9912803" y="156330"/>
          <a:ext cx="1898651" cy="587980"/>
        </a:xfrm>
        <a:prstGeom prst="rect">
          <a:avLst/>
        </a:prstGeom>
        <a:solidFill>
          <a:srgbClr val="FFFFCC"/>
        </a:solidFill>
        <a:ln w="38100">
          <a:solidFill>
            <a:srgbClr val="00B0F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chemeClr val="bg1">
                  <a:lumMod val="85000"/>
                </a:schemeClr>
              </a:solidFill>
            </a:rPr>
            <a:t>Cp,D</a:t>
          </a:r>
          <a:r>
            <a:rPr kumimoji="1" lang="ja-JP" altLang="en-US" sz="1400" b="1" baseline="0">
              <a:solidFill>
                <a:schemeClr val="bg1">
                  <a:lumMod val="85000"/>
                </a:schemeClr>
              </a:solidFill>
            </a:rPr>
            <a:t> 測定完了確認</a:t>
          </a:r>
          <a:endParaRPr kumimoji="1" lang="ja-JP" altLang="en-US" sz="1400" b="1">
            <a:solidFill>
              <a:schemeClr val="bg1">
                <a:lumMod val="85000"/>
              </a:schemeClr>
            </a:solidFill>
          </a:endParaRPr>
        </a:p>
      </xdr:txBody>
    </xdr:sp>
    <xdr:clientData/>
  </xdr:twoCellAnchor>
  <mc:AlternateContent xmlns:mc="http://schemas.openxmlformats.org/markup-compatibility/2006">
    <mc:Choice xmlns:a14="http://schemas.microsoft.com/office/drawing/2010/main" Requires="a14">
      <xdr:twoCellAnchor editAs="absolute">
        <xdr:from>
          <xdr:col>16</xdr:col>
          <xdr:colOff>457200</xdr:colOff>
          <xdr:row>0</xdr:row>
          <xdr:rowOff>180975</xdr:rowOff>
        </xdr:from>
        <xdr:to>
          <xdr:col>19</xdr:col>
          <xdr:colOff>314325</xdr:colOff>
          <xdr:row>1</xdr:row>
          <xdr:rowOff>266700</xdr:rowOff>
        </xdr:to>
        <xdr:sp macro="" textlink="">
          <xdr:nvSpPr>
            <xdr:cNvPr id="39300" name="CommandButton9" hidden="1">
              <a:extLst>
                <a:ext uri="{63B3BB69-23CF-44E3-9099-C40C66FF867C}">
                  <a14:compatExt spid="_x0000_s39300"/>
                </a:ext>
                <a:ext uri="{FF2B5EF4-FFF2-40B4-BE49-F238E27FC236}">
                  <a16:creationId xmlns:a16="http://schemas.microsoft.com/office/drawing/2014/main" id="{00000000-0008-0000-0000-0000849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1</xdr:row>
          <xdr:rowOff>152400</xdr:rowOff>
        </xdr:from>
        <xdr:to>
          <xdr:col>1</xdr:col>
          <xdr:colOff>542925</xdr:colOff>
          <xdr:row>2</xdr:row>
          <xdr:rowOff>9525</xdr:rowOff>
        </xdr:to>
        <xdr:sp macro="" textlink="">
          <xdr:nvSpPr>
            <xdr:cNvPr id="39301" name="Label2" hidden="1">
              <a:extLst>
                <a:ext uri="{63B3BB69-23CF-44E3-9099-C40C66FF867C}">
                  <a14:compatExt spid="_x0000_s39301"/>
                </a:ext>
                <a:ext uri="{FF2B5EF4-FFF2-40B4-BE49-F238E27FC236}">
                  <a16:creationId xmlns:a16="http://schemas.microsoft.com/office/drawing/2014/main" id="{00000000-0008-0000-0000-0000859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990600</xdr:colOff>
          <xdr:row>1</xdr:row>
          <xdr:rowOff>152400</xdr:rowOff>
        </xdr:from>
        <xdr:to>
          <xdr:col>4</xdr:col>
          <xdr:colOff>133350</xdr:colOff>
          <xdr:row>2</xdr:row>
          <xdr:rowOff>47625</xdr:rowOff>
        </xdr:to>
        <xdr:sp macro="" textlink="">
          <xdr:nvSpPr>
            <xdr:cNvPr id="39302" name="Label3" hidden="1">
              <a:extLst>
                <a:ext uri="{63B3BB69-23CF-44E3-9099-C40C66FF867C}">
                  <a14:compatExt spid="_x0000_s39302"/>
                </a:ext>
                <a:ext uri="{FF2B5EF4-FFF2-40B4-BE49-F238E27FC236}">
                  <a16:creationId xmlns:a16="http://schemas.microsoft.com/office/drawing/2014/main" id="{00000000-0008-0000-0000-0000869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38100</xdr:colOff>
          <xdr:row>2</xdr:row>
          <xdr:rowOff>133350</xdr:rowOff>
        </xdr:from>
        <xdr:to>
          <xdr:col>11</xdr:col>
          <xdr:colOff>76200</xdr:colOff>
          <xdr:row>2</xdr:row>
          <xdr:rowOff>485775</xdr:rowOff>
        </xdr:to>
        <xdr:sp macro="" textlink="">
          <xdr:nvSpPr>
            <xdr:cNvPr id="39305" name="Label5" hidden="1">
              <a:extLst>
                <a:ext uri="{63B3BB69-23CF-44E3-9099-C40C66FF867C}">
                  <a14:compatExt spid="_x0000_s39305"/>
                </a:ext>
                <a:ext uri="{FF2B5EF4-FFF2-40B4-BE49-F238E27FC236}">
                  <a16:creationId xmlns:a16="http://schemas.microsoft.com/office/drawing/2014/main" id="{00000000-0008-0000-0000-00008999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oneCellAnchor>
    <xdr:from>
      <xdr:col>16</xdr:col>
      <xdr:colOff>108858</xdr:colOff>
      <xdr:row>2</xdr:row>
      <xdr:rowOff>190499</xdr:rowOff>
    </xdr:from>
    <xdr:ext cx="2095501" cy="530679"/>
    <xdr:sp macro="" textlink="">
      <xdr:nvSpPr>
        <xdr:cNvPr id="4" name="テキスト ボックス 3">
          <a:extLst>
            <a:ext uri="{FF2B5EF4-FFF2-40B4-BE49-F238E27FC236}">
              <a16:creationId xmlns:a16="http://schemas.microsoft.com/office/drawing/2014/main" id="{8F5EF88D-D142-7C0B-C379-6A6F1718055D}"/>
            </a:ext>
          </a:extLst>
        </xdr:cNvPr>
        <xdr:cNvSpPr txBox="1"/>
      </xdr:nvSpPr>
      <xdr:spPr>
        <a:xfrm>
          <a:off x="9579429" y="925285"/>
          <a:ext cx="2095501" cy="53067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2800" b="1"/>
            <a:t>10pF-50pF</a:t>
          </a:r>
          <a:r>
            <a:rPr kumimoji="1" lang="ja-JP" altLang="en-US" sz="2800" b="1"/>
            <a:t>用</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34</xdr:col>
          <xdr:colOff>28575</xdr:colOff>
          <xdr:row>0</xdr:row>
          <xdr:rowOff>28575</xdr:rowOff>
        </xdr:from>
        <xdr:to>
          <xdr:col>35</xdr:col>
          <xdr:colOff>361950</xdr:colOff>
          <xdr:row>2</xdr:row>
          <xdr:rowOff>200025</xdr:rowOff>
        </xdr:to>
        <xdr:sp macro="" textlink="">
          <xdr:nvSpPr>
            <xdr:cNvPr id="39937" name="CommandButton1" hidden="1">
              <a:extLst>
                <a:ext uri="{63B3BB69-23CF-44E3-9099-C40C66FF867C}">
                  <a14:compatExt spid="_x0000_s39937"/>
                </a:ext>
                <a:ext uri="{FF2B5EF4-FFF2-40B4-BE49-F238E27FC236}">
                  <a16:creationId xmlns:a16="http://schemas.microsoft.com/office/drawing/2014/main" id="{00000000-0008-0000-0100-0000019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28575</xdr:colOff>
          <xdr:row>3</xdr:row>
          <xdr:rowOff>66675</xdr:rowOff>
        </xdr:from>
        <xdr:to>
          <xdr:col>35</xdr:col>
          <xdr:colOff>361950</xdr:colOff>
          <xdr:row>4</xdr:row>
          <xdr:rowOff>304800</xdr:rowOff>
        </xdr:to>
        <xdr:sp macro="" textlink="">
          <xdr:nvSpPr>
            <xdr:cNvPr id="39938" name="CommandButton2" hidden="1">
              <a:extLst>
                <a:ext uri="{63B3BB69-23CF-44E3-9099-C40C66FF867C}">
                  <a14:compatExt spid="_x0000_s39938"/>
                </a:ext>
                <a:ext uri="{FF2B5EF4-FFF2-40B4-BE49-F238E27FC236}">
                  <a16:creationId xmlns:a16="http://schemas.microsoft.com/office/drawing/2014/main" id="{00000000-0008-0000-0100-0000029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352425</xdr:colOff>
          <xdr:row>0</xdr:row>
          <xdr:rowOff>28575</xdr:rowOff>
        </xdr:from>
        <xdr:to>
          <xdr:col>40</xdr:col>
          <xdr:colOff>38100</xdr:colOff>
          <xdr:row>2</xdr:row>
          <xdr:rowOff>200025</xdr:rowOff>
        </xdr:to>
        <xdr:sp macro="" textlink="">
          <xdr:nvSpPr>
            <xdr:cNvPr id="39939" name="CommandButton3" hidden="1">
              <a:extLst>
                <a:ext uri="{63B3BB69-23CF-44E3-9099-C40C66FF867C}">
                  <a14:compatExt spid="_x0000_s39939"/>
                </a:ext>
                <a:ext uri="{FF2B5EF4-FFF2-40B4-BE49-F238E27FC236}">
                  <a16:creationId xmlns:a16="http://schemas.microsoft.com/office/drawing/2014/main" id="{00000000-0008-0000-0100-0000039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28575</xdr:colOff>
          <xdr:row>5</xdr:row>
          <xdr:rowOff>161925</xdr:rowOff>
        </xdr:from>
        <xdr:to>
          <xdr:col>35</xdr:col>
          <xdr:colOff>361950</xdr:colOff>
          <xdr:row>7</xdr:row>
          <xdr:rowOff>57150</xdr:rowOff>
        </xdr:to>
        <xdr:sp macro="" textlink="">
          <xdr:nvSpPr>
            <xdr:cNvPr id="39940" name="CommandButton4" hidden="1">
              <a:extLst>
                <a:ext uri="{63B3BB69-23CF-44E3-9099-C40C66FF867C}">
                  <a14:compatExt spid="_x0000_s39940"/>
                </a:ext>
                <a:ext uri="{FF2B5EF4-FFF2-40B4-BE49-F238E27FC236}">
                  <a16:creationId xmlns:a16="http://schemas.microsoft.com/office/drawing/2014/main" id="{00000000-0008-0000-0100-0000049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47625</xdr:colOff>
          <xdr:row>7</xdr:row>
          <xdr:rowOff>266700</xdr:rowOff>
        </xdr:from>
        <xdr:to>
          <xdr:col>35</xdr:col>
          <xdr:colOff>381000</xdr:colOff>
          <xdr:row>8</xdr:row>
          <xdr:rowOff>47625</xdr:rowOff>
        </xdr:to>
        <xdr:sp macro="" textlink="">
          <xdr:nvSpPr>
            <xdr:cNvPr id="39941" name="CommandButton5" hidden="1">
              <a:extLst>
                <a:ext uri="{63B3BB69-23CF-44E3-9099-C40C66FF867C}">
                  <a14:compatExt spid="_x0000_s39941"/>
                </a:ext>
                <a:ext uri="{FF2B5EF4-FFF2-40B4-BE49-F238E27FC236}">
                  <a16:creationId xmlns:a16="http://schemas.microsoft.com/office/drawing/2014/main" id="{00000000-0008-0000-0100-0000059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66675</xdr:colOff>
          <xdr:row>9</xdr:row>
          <xdr:rowOff>28575</xdr:rowOff>
        </xdr:from>
        <xdr:to>
          <xdr:col>35</xdr:col>
          <xdr:colOff>400050</xdr:colOff>
          <xdr:row>11</xdr:row>
          <xdr:rowOff>180975</xdr:rowOff>
        </xdr:to>
        <xdr:sp macro="" textlink="">
          <xdr:nvSpPr>
            <xdr:cNvPr id="39942" name="CommandButton6" hidden="1">
              <a:extLst>
                <a:ext uri="{63B3BB69-23CF-44E3-9099-C40C66FF867C}">
                  <a14:compatExt spid="_x0000_s39942"/>
                </a:ext>
                <a:ext uri="{FF2B5EF4-FFF2-40B4-BE49-F238E27FC236}">
                  <a16:creationId xmlns:a16="http://schemas.microsoft.com/office/drawing/2014/main" id="{00000000-0008-0000-0100-0000069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17</xdr:col>
      <xdr:colOff>69954</xdr:colOff>
      <xdr:row>40</xdr:row>
      <xdr:rowOff>37405</xdr:rowOff>
    </xdr:from>
    <xdr:to>
      <xdr:col>31</xdr:col>
      <xdr:colOff>1049058</xdr:colOff>
      <xdr:row>40</xdr:row>
      <xdr:rowOff>37405</xdr:rowOff>
    </xdr:to>
    <xdr:cxnSp macro="">
      <xdr:nvCxnSpPr>
        <xdr:cNvPr id="3" name="直線コネクタ 2">
          <a:extLst>
            <a:ext uri="{FF2B5EF4-FFF2-40B4-BE49-F238E27FC236}">
              <a16:creationId xmlns:a16="http://schemas.microsoft.com/office/drawing/2014/main" id="{C2C225E2-BF3E-244D-A19E-568270359852}"/>
            </a:ext>
          </a:extLst>
        </xdr:cNvPr>
        <xdr:cNvCxnSpPr/>
      </xdr:nvCxnSpPr>
      <xdr:spPr>
        <a:xfrm>
          <a:off x="9528693" y="11925709"/>
          <a:ext cx="8543887"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1628</xdr:colOff>
      <xdr:row>122</xdr:row>
      <xdr:rowOff>37609</xdr:rowOff>
    </xdr:from>
    <xdr:to>
      <xdr:col>32</xdr:col>
      <xdr:colOff>4581</xdr:colOff>
      <xdr:row>122</xdr:row>
      <xdr:rowOff>37609</xdr:rowOff>
    </xdr:to>
    <xdr:cxnSp macro="">
      <xdr:nvCxnSpPr>
        <xdr:cNvPr id="5" name="直線コネクタ 4">
          <a:extLst>
            <a:ext uri="{FF2B5EF4-FFF2-40B4-BE49-F238E27FC236}">
              <a16:creationId xmlns:a16="http://schemas.microsoft.com/office/drawing/2014/main" id="{B0BD6002-FB08-32D8-C7D5-D48A3BFB9CDA}"/>
            </a:ext>
          </a:extLst>
        </xdr:cNvPr>
        <xdr:cNvCxnSpPr/>
      </xdr:nvCxnSpPr>
      <xdr:spPr>
        <a:xfrm>
          <a:off x="9531007" y="35917299"/>
          <a:ext cx="8538229"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7440</xdr:colOff>
      <xdr:row>133</xdr:row>
      <xdr:rowOff>42446</xdr:rowOff>
    </xdr:from>
    <xdr:to>
      <xdr:col>32</xdr:col>
      <xdr:colOff>25000</xdr:colOff>
      <xdr:row>133</xdr:row>
      <xdr:rowOff>42446</xdr:rowOff>
    </xdr:to>
    <xdr:cxnSp macro="">
      <xdr:nvCxnSpPr>
        <xdr:cNvPr id="6" name="直線コネクタ 5">
          <a:extLst>
            <a:ext uri="{FF2B5EF4-FFF2-40B4-BE49-F238E27FC236}">
              <a16:creationId xmlns:a16="http://schemas.microsoft.com/office/drawing/2014/main" id="{BA4AD898-E9E9-7E22-7AAF-A5562AAA5F7A}"/>
            </a:ext>
          </a:extLst>
        </xdr:cNvPr>
        <xdr:cNvCxnSpPr/>
      </xdr:nvCxnSpPr>
      <xdr:spPr>
        <a:xfrm>
          <a:off x="9536819" y="38983274"/>
          <a:ext cx="8552836"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69464</xdr:colOff>
      <xdr:row>10</xdr:row>
      <xdr:rowOff>44690</xdr:rowOff>
    </xdr:from>
    <xdr:to>
      <xdr:col>32</xdr:col>
      <xdr:colOff>440</xdr:colOff>
      <xdr:row>10</xdr:row>
      <xdr:rowOff>44690</xdr:rowOff>
    </xdr:to>
    <xdr:cxnSp macro="">
      <xdr:nvCxnSpPr>
        <xdr:cNvPr id="7" name="直線コネクタ 6">
          <a:extLst>
            <a:ext uri="{FF2B5EF4-FFF2-40B4-BE49-F238E27FC236}">
              <a16:creationId xmlns:a16="http://schemas.microsoft.com/office/drawing/2014/main" id="{9301AEBD-E183-63E4-0201-713DA0006424}"/>
            </a:ext>
          </a:extLst>
        </xdr:cNvPr>
        <xdr:cNvCxnSpPr/>
      </xdr:nvCxnSpPr>
      <xdr:spPr>
        <a:xfrm>
          <a:off x="9528774" y="3005104"/>
          <a:ext cx="8536321"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2139</xdr:colOff>
      <xdr:row>20</xdr:row>
      <xdr:rowOff>40416</xdr:rowOff>
    </xdr:from>
    <xdr:to>
      <xdr:col>32</xdr:col>
      <xdr:colOff>3206</xdr:colOff>
      <xdr:row>20</xdr:row>
      <xdr:rowOff>40416</xdr:rowOff>
    </xdr:to>
    <xdr:cxnSp macro="">
      <xdr:nvCxnSpPr>
        <xdr:cNvPr id="8" name="直線コネクタ 7">
          <a:extLst>
            <a:ext uri="{FF2B5EF4-FFF2-40B4-BE49-F238E27FC236}">
              <a16:creationId xmlns:a16="http://schemas.microsoft.com/office/drawing/2014/main" id="{A7C8F746-16FA-C50A-2B53-773105969EBD}"/>
            </a:ext>
          </a:extLst>
        </xdr:cNvPr>
        <xdr:cNvCxnSpPr/>
      </xdr:nvCxnSpPr>
      <xdr:spPr>
        <a:xfrm>
          <a:off x="9531518" y="5978761"/>
          <a:ext cx="8536343"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68200</xdr:colOff>
      <xdr:row>30</xdr:row>
      <xdr:rowOff>45552</xdr:rowOff>
    </xdr:from>
    <xdr:to>
      <xdr:col>31</xdr:col>
      <xdr:colOff>1045854</xdr:colOff>
      <xdr:row>30</xdr:row>
      <xdr:rowOff>45552</xdr:rowOff>
    </xdr:to>
    <xdr:cxnSp macro="">
      <xdr:nvCxnSpPr>
        <xdr:cNvPr id="9" name="直線コネクタ 8">
          <a:extLst>
            <a:ext uri="{FF2B5EF4-FFF2-40B4-BE49-F238E27FC236}">
              <a16:creationId xmlns:a16="http://schemas.microsoft.com/office/drawing/2014/main" id="{9CCE0A4B-CB98-EF34-38BA-D88E3EFF4568}"/>
            </a:ext>
          </a:extLst>
        </xdr:cNvPr>
        <xdr:cNvCxnSpPr/>
      </xdr:nvCxnSpPr>
      <xdr:spPr>
        <a:xfrm>
          <a:off x="9527510" y="8961828"/>
          <a:ext cx="8536344"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2729</xdr:colOff>
      <xdr:row>51</xdr:row>
      <xdr:rowOff>45504</xdr:rowOff>
    </xdr:from>
    <xdr:to>
      <xdr:col>32</xdr:col>
      <xdr:colOff>621</xdr:colOff>
      <xdr:row>51</xdr:row>
      <xdr:rowOff>45504</xdr:rowOff>
    </xdr:to>
    <xdr:cxnSp macro="">
      <xdr:nvCxnSpPr>
        <xdr:cNvPr id="10" name="直線コネクタ 9">
          <a:extLst>
            <a:ext uri="{FF2B5EF4-FFF2-40B4-BE49-F238E27FC236}">
              <a16:creationId xmlns:a16="http://schemas.microsoft.com/office/drawing/2014/main" id="{45B6CE8D-9402-25C1-B1F7-B3ACF6E4A06C}"/>
            </a:ext>
          </a:extLst>
        </xdr:cNvPr>
        <xdr:cNvCxnSpPr/>
      </xdr:nvCxnSpPr>
      <xdr:spPr>
        <a:xfrm>
          <a:off x="10449386" y="14919018"/>
          <a:ext cx="9319692"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563</xdr:colOff>
      <xdr:row>61</xdr:row>
      <xdr:rowOff>42333</xdr:rowOff>
    </xdr:from>
    <xdr:to>
      <xdr:col>32</xdr:col>
      <xdr:colOff>1630</xdr:colOff>
      <xdr:row>61</xdr:row>
      <xdr:rowOff>42333</xdr:rowOff>
    </xdr:to>
    <xdr:cxnSp macro="">
      <xdr:nvCxnSpPr>
        <xdr:cNvPr id="11" name="直線コネクタ 10">
          <a:extLst>
            <a:ext uri="{FF2B5EF4-FFF2-40B4-BE49-F238E27FC236}">
              <a16:creationId xmlns:a16="http://schemas.microsoft.com/office/drawing/2014/main" id="{EF6B7BBE-83E9-B143-F085-78E9C1D6A76A}"/>
            </a:ext>
          </a:extLst>
        </xdr:cNvPr>
        <xdr:cNvCxnSpPr/>
      </xdr:nvCxnSpPr>
      <xdr:spPr>
        <a:xfrm>
          <a:off x="9529942" y="17975609"/>
          <a:ext cx="8536343"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41550</xdr:colOff>
      <xdr:row>71</xdr:row>
      <xdr:rowOff>43785</xdr:rowOff>
    </xdr:from>
    <xdr:to>
      <xdr:col>32</xdr:col>
      <xdr:colOff>42617</xdr:colOff>
      <xdr:row>71</xdr:row>
      <xdr:rowOff>43785</xdr:rowOff>
    </xdr:to>
    <xdr:cxnSp macro="">
      <xdr:nvCxnSpPr>
        <xdr:cNvPr id="12" name="直線コネクタ 11">
          <a:extLst>
            <a:ext uri="{FF2B5EF4-FFF2-40B4-BE49-F238E27FC236}">
              <a16:creationId xmlns:a16="http://schemas.microsoft.com/office/drawing/2014/main" id="{684D47FD-C8E1-CC59-C62F-E40E10D80F20}"/>
            </a:ext>
          </a:extLst>
        </xdr:cNvPr>
        <xdr:cNvCxnSpPr/>
      </xdr:nvCxnSpPr>
      <xdr:spPr>
        <a:xfrm>
          <a:off x="10444967" y="20607202"/>
          <a:ext cx="9293233"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41549</xdr:colOff>
      <xdr:row>92</xdr:row>
      <xdr:rowOff>44456</xdr:rowOff>
    </xdr:from>
    <xdr:to>
      <xdr:col>32</xdr:col>
      <xdr:colOff>42617</xdr:colOff>
      <xdr:row>92</xdr:row>
      <xdr:rowOff>44456</xdr:rowOff>
    </xdr:to>
    <xdr:cxnSp macro="">
      <xdr:nvCxnSpPr>
        <xdr:cNvPr id="13" name="直線コネクタ 12">
          <a:extLst>
            <a:ext uri="{FF2B5EF4-FFF2-40B4-BE49-F238E27FC236}">
              <a16:creationId xmlns:a16="http://schemas.microsoft.com/office/drawing/2014/main" id="{4B432982-E268-3576-2CE4-39B5C5D4D40F}"/>
            </a:ext>
          </a:extLst>
        </xdr:cNvPr>
        <xdr:cNvCxnSpPr/>
      </xdr:nvCxnSpPr>
      <xdr:spPr>
        <a:xfrm>
          <a:off x="10474599" y="26835106"/>
          <a:ext cx="9322868"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4594</xdr:colOff>
      <xdr:row>102</xdr:row>
      <xdr:rowOff>44771</xdr:rowOff>
    </xdr:from>
    <xdr:to>
      <xdr:col>32</xdr:col>
      <xdr:colOff>11965</xdr:colOff>
      <xdr:row>102</xdr:row>
      <xdr:rowOff>44771</xdr:rowOff>
    </xdr:to>
    <xdr:cxnSp macro="">
      <xdr:nvCxnSpPr>
        <xdr:cNvPr id="14" name="直線コネクタ 13">
          <a:extLst>
            <a:ext uri="{FF2B5EF4-FFF2-40B4-BE49-F238E27FC236}">
              <a16:creationId xmlns:a16="http://schemas.microsoft.com/office/drawing/2014/main" id="{0D58903F-A127-360F-4151-E38A87D81C89}"/>
            </a:ext>
          </a:extLst>
        </xdr:cNvPr>
        <xdr:cNvCxnSpPr/>
      </xdr:nvCxnSpPr>
      <xdr:spPr>
        <a:xfrm>
          <a:off x="9533973" y="29968599"/>
          <a:ext cx="8542647"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4664</xdr:colOff>
      <xdr:row>112</xdr:row>
      <xdr:rowOff>42662</xdr:rowOff>
    </xdr:from>
    <xdr:to>
      <xdr:col>32</xdr:col>
      <xdr:colOff>8906</xdr:colOff>
      <xdr:row>112</xdr:row>
      <xdr:rowOff>42662</xdr:rowOff>
    </xdr:to>
    <xdr:cxnSp macro="">
      <xdr:nvCxnSpPr>
        <xdr:cNvPr id="15" name="直線コネクタ 14">
          <a:extLst>
            <a:ext uri="{FF2B5EF4-FFF2-40B4-BE49-F238E27FC236}">
              <a16:creationId xmlns:a16="http://schemas.microsoft.com/office/drawing/2014/main" id="{D2B53C8B-5379-B6EC-DF5D-5D9A9A70BC51}"/>
            </a:ext>
          </a:extLst>
        </xdr:cNvPr>
        <xdr:cNvCxnSpPr/>
      </xdr:nvCxnSpPr>
      <xdr:spPr>
        <a:xfrm>
          <a:off x="10472395" y="32813547"/>
          <a:ext cx="9328973"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6060</xdr:colOff>
      <xdr:row>0</xdr:row>
      <xdr:rowOff>33421</xdr:rowOff>
    </xdr:from>
    <xdr:to>
      <xdr:col>32</xdr:col>
      <xdr:colOff>20053</xdr:colOff>
      <xdr:row>0</xdr:row>
      <xdr:rowOff>35125</xdr:rowOff>
    </xdr:to>
    <xdr:cxnSp macro="">
      <xdr:nvCxnSpPr>
        <xdr:cNvPr id="16" name="直線コネクタ 15">
          <a:extLst>
            <a:ext uri="{FF2B5EF4-FFF2-40B4-BE49-F238E27FC236}">
              <a16:creationId xmlns:a16="http://schemas.microsoft.com/office/drawing/2014/main" id="{D8D1C0F9-564A-46A6-82A9-02A6D9EB276C}"/>
            </a:ext>
          </a:extLst>
        </xdr:cNvPr>
        <xdr:cNvCxnSpPr/>
      </xdr:nvCxnSpPr>
      <xdr:spPr>
        <a:xfrm flipV="1">
          <a:off x="9524376" y="33421"/>
          <a:ext cx="8566440" cy="1704"/>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6204</xdr:colOff>
      <xdr:row>41</xdr:row>
      <xdr:rowOff>44162</xdr:rowOff>
    </xdr:from>
    <xdr:to>
      <xdr:col>32</xdr:col>
      <xdr:colOff>7961</xdr:colOff>
      <xdr:row>41</xdr:row>
      <xdr:rowOff>44162</xdr:rowOff>
    </xdr:to>
    <xdr:cxnSp macro="">
      <xdr:nvCxnSpPr>
        <xdr:cNvPr id="17" name="直線コネクタ 16">
          <a:extLst>
            <a:ext uri="{FF2B5EF4-FFF2-40B4-BE49-F238E27FC236}">
              <a16:creationId xmlns:a16="http://schemas.microsoft.com/office/drawing/2014/main" id="{92052B33-43E8-49E7-A4E0-D6276C5396B3}"/>
            </a:ext>
          </a:extLst>
        </xdr:cNvPr>
        <xdr:cNvCxnSpPr/>
      </xdr:nvCxnSpPr>
      <xdr:spPr>
        <a:xfrm>
          <a:off x="9536726" y="12015292"/>
          <a:ext cx="8543887"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69228</xdr:colOff>
      <xdr:row>123</xdr:row>
      <xdr:rowOff>44098</xdr:rowOff>
    </xdr:from>
    <xdr:to>
      <xdr:col>32</xdr:col>
      <xdr:colOff>11164</xdr:colOff>
      <xdr:row>123</xdr:row>
      <xdr:rowOff>44098</xdr:rowOff>
    </xdr:to>
    <xdr:cxnSp macro="">
      <xdr:nvCxnSpPr>
        <xdr:cNvPr id="19" name="直線コネクタ 18">
          <a:extLst>
            <a:ext uri="{FF2B5EF4-FFF2-40B4-BE49-F238E27FC236}">
              <a16:creationId xmlns:a16="http://schemas.microsoft.com/office/drawing/2014/main" id="{A8EC90D1-7674-4EF0-9B36-2BB2DE908CB3}"/>
            </a:ext>
          </a:extLst>
        </xdr:cNvPr>
        <xdr:cNvCxnSpPr/>
      </xdr:nvCxnSpPr>
      <xdr:spPr>
        <a:xfrm>
          <a:off x="9528538" y="36006995"/>
          <a:ext cx="8547281"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5034</xdr:colOff>
      <xdr:row>82</xdr:row>
      <xdr:rowOff>45217</xdr:rowOff>
    </xdr:from>
    <xdr:to>
      <xdr:col>32</xdr:col>
      <xdr:colOff>32815</xdr:colOff>
      <xdr:row>82</xdr:row>
      <xdr:rowOff>45217</xdr:rowOff>
    </xdr:to>
    <xdr:cxnSp macro="">
      <xdr:nvCxnSpPr>
        <xdr:cNvPr id="21" name="直線コネクタ 20">
          <a:extLst>
            <a:ext uri="{FF2B5EF4-FFF2-40B4-BE49-F238E27FC236}">
              <a16:creationId xmlns:a16="http://schemas.microsoft.com/office/drawing/2014/main" id="{70826690-C88B-4D12-9542-315F9C85AC77}"/>
            </a:ext>
          </a:extLst>
        </xdr:cNvPr>
        <xdr:cNvCxnSpPr/>
      </xdr:nvCxnSpPr>
      <xdr:spPr>
        <a:xfrm>
          <a:off x="9535556" y="23998521"/>
          <a:ext cx="8569911"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4165</xdr:colOff>
      <xdr:row>81</xdr:row>
      <xdr:rowOff>40556</xdr:rowOff>
    </xdr:from>
    <xdr:to>
      <xdr:col>32</xdr:col>
      <xdr:colOff>8407</xdr:colOff>
      <xdr:row>81</xdr:row>
      <xdr:rowOff>40556</xdr:rowOff>
    </xdr:to>
    <xdr:cxnSp macro="">
      <xdr:nvCxnSpPr>
        <xdr:cNvPr id="22" name="直線コネクタ 21">
          <a:extLst>
            <a:ext uri="{FF2B5EF4-FFF2-40B4-BE49-F238E27FC236}">
              <a16:creationId xmlns:a16="http://schemas.microsoft.com/office/drawing/2014/main" id="{9202C8B6-D93D-4832-8DB9-9D55C7065607}"/>
            </a:ext>
          </a:extLst>
        </xdr:cNvPr>
        <xdr:cNvCxnSpPr/>
      </xdr:nvCxnSpPr>
      <xdr:spPr>
        <a:xfrm>
          <a:off x="9534687" y="23911034"/>
          <a:ext cx="8546372" cy="0"/>
        </a:xfrm>
        <a:prstGeom prst="line">
          <a:avLst/>
        </a:prstGeom>
        <a:ln w="38100">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6.xml"/><Relationship Id="rId18" Type="http://schemas.openxmlformats.org/officeDocument/2006/relationships/image" Target="../media/image7.emf"/><Relationship Id="rId26" Type="http://schemas.openxmlformats.org/officeDocument/2006/relationships/control" Target="../activeX/activeX13.xml"/><Relationship Id="rId39" Type="http://schemas.openxmlformats.org/officeDocument/2006/relationships/control" Target="../activeX/activeX20.xml"/><Relationship Id="rId3" Type="http://schemas.openxmlformats.org/officeDocument/2006/relationships/vmlDrawing" Target="../drawings/vmlDrawing1.vml"/><Relationship Id="rId21" Type="http://schemas.openxmlformats.org/officeDocument/2006/relationships/control" Target="../activeX/activeX10.xml"/><Relationship Id="rId34" Type="http://schemas.openxmlformats.org/officeDocument/2006/relationships/image" Target="../media/image14.emf"/><Relationship Id="rId42" Type="http://schemas.openxmlformats.org/officeDocument/2006/relationships/image" Target="../media/image18.emf"/><Relationship Id="rId47" Type="http://schemas.openxmlformats.org/officeDocument/2006/relationships/control" Target="../activeX/activeX24.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7.xml"/><Relationship Id="rId38" Type="http://schemas.openxmlformats.org/officeDocument/2006/relationships/image" Target="../media/image16.emf"/><Relationship Id="rId46" Type="http://schemas.openxmlformats.org/officeDocument/2006/relationships/image" Target="../media/image20.emf"/><Relationship Id="rId2" Type="http://schemas.openxmlformats.org/officeDocument/2006/relationships/drawing" Target="../drawings/drawing1.xml"/><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5.xml"/><Relationship Id="rId41" Type="http://schemas.openxmlformats.org/officeDocument/2006/relationships/control" Target="../activeX/activeX2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image" Target="../media/image10.emf"/><Relationship Id="rId32" Type="http://schemas.openxmlformats.org/officeDocument/2006/relationships/image" Target="../media/image13.emf"/><Relationship Id="rId37" Type="http://schemas.openxmlformats.org/officeDocument/2006/relationships/control" Target="../activeX/activeX19.xml"/><Relationship Id="rId40" Type="http://schemas.openxmlformats.org/officeDocument/2006/relationships/image" Target="../media/image17.emf"/><Relationship Id="rId45" Type="http://schemas.openxmlformats.org/officeDocument/2006/relationships/control" Target="../activeX/activeX23.xml"/><Relationship Id="rId5" Type="http://schemas.openxmlformats.org/officeDocument/2006/relationships/image" Target="../media/image1.emf"/><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1.emf"/><Relationship Id="rId36" Type="http://schemas.openxmlformats.org/officeDocument/2006/relationships/image" Target="../media/image15.emf"/><Relationship Id="rId10" Type="http://schemas.openxmlformats.org/officeDocument/2006/relationships/control" Target="../activeX/activeX4.xml"/><Relationship Id="rId19" Type="http://schemas.openxmlformats.org/officeDocument/2006/relationships/control" Target="../activeX/activeX9.xml"/><Relationship Id="rId31" Type="http://schemas.openxmlformats.org/officeDocument/2006/relationships/control" Target="../activeX/activeX16.xml"/><Relationship Id="rId44" Type="http://schemas.openxmlformats.org/officeDocument/2006/relationships/image" Target="../media/image19.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4.xml"/><Relationship Id="rId30" Type="http://schemas.openxmlformats.org/officeDocument/2006/relationships/image" Target="../media/image12.emf"/><Relationship Id="rId35" Type="http://schemas.openxmlformats.org/officeDocument/2006/relationships/control" Target="../activeX/activeX18.xml"/><Relationship Id="rId43" Type="http://schemas.openxmlformats.org/officeDocument/2006/relationships/control" Target="../activeX/activeX22.xml"/><Relationship Id="rId48" Type="http://schemas.openxmlformats.org/officeDocument/2006/relationships/image" Target="../media/image2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26.emf"/><Relationship Id="rId3" Type="http://schemas.openxmlformats.org/officeDocument/2006/relationships/vmlDrawing" Target="../drawings/vmlDrawing2.vml"/><Relationship Id="rId7" Type="http://schemas.openxmlformats.org/officeDocument/2006/relationships/image" Target="../media/image23.emf"/><Relationship Id="rId12" Type="http://schemas.openxmlformats.org/officeDocument/2006/relationships/control" Target="../activeX/activeX2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6.xml"/><Relationship Id="rId11" Type="http://schemas.openxmlformats.org/officeDocument/2006/relationships/image" Target="../media/image25.emf"/><Relationship Id="rId5" Type="http://schemas.openxmlformats.org/officeDocument/2006/relationships/image" Target="../media/image22.emf"/><Relationship Id="rId15" Type="http://schemas.openxmlformats.org/officeDocument/2006/relationships/image" Target="../media/image27.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24.emf"/><Relationship Id="rId14" Type="http://schemas.openxmlformats.org/officeDocument/2006/relationships/control" Target="../activeX/activeX3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FCEAC-F0E2-489D-A2D6-16AE7CDACDD2}">
  <sheetPr codeName="Sheet6"/>
  <dimension ref="B1:AA139"/>
  <sheetViews>
    <sheetView tabSelected="1" view="pageBreakPreview" zoomScale="70" zoomScaleNormal="50" zoomScaleSheetLayoutView="70" workbookViewId="0">
      <pane ySplit="3" topLeftCell="A4" activePane="bottomLeft" state="frozen"/>
      <selection activeCell="R27" sqref="R27"/>
      <selection pane="bottomLeft" activeCell="C7" sqref="C7"/>
    </sheetView>
  </sheetViews>
  <sheetFormatPr defaultColWidth="8.75" defaultRowHeight="13.5" x14ac:dyDescent="0.15"/>
  <cols>
    <col min="1" max="1" width="1" style="12" customWidth="1"/>
    <col min="2" max="2" width="8.625" style="12" customWidth="1"/>
    <col min="3" max="3" width="15" style="12" customWidth="1"/>
    <col min="4" max="4" width="1" style="12" customWidth="1"/>
    <col min="5" max="5" width="8.625" style="12" customWidth="1"/>
    <col min="6" max="6" width="15" style="12" customWidth="1"/>
    <col min="7" max="7" width="1" style="12" customWidth="1"/>
    <col min="8" max="8" width="8.625" style="12" customWidth="1"/>
    <col min="9" max="9" width="15" style="12" customWidth="1"/>
    <col min="10" max="10" width="1" style="12" customWidth="1"/>
    <col min="11" max="11" width="8.625" style="12" customWidth="1"/>
    <col min="12" max="12" width="15" style="12" customWidth="1"/>
    <col min="13" max="13" width="1" style="12" customWidth="1"/>
    <col min="14" max="14" width="8.625" style="12" customWidth="1"/>
    <col min="15" max="15" width="15" style="12" customWidth="1"/>
    <col min="16" max="16" width="1" style="12" customWidth="1"/>
    <col min="17" max="25" width="8.75" style="12"/>
    <col min="26" max="26" width="8.75" style="26"/>
    <col min="27" max="27" width="10.875" style="12" customWidth="1"/>
    <col min="28" max="16384" width="8.75" style="12"/>
  </cols>
  <sheetData>
    <row r="1" spans="2:27" ht="33" customHeight="1" x14ac:dyDescent="0.15">
      <c r="F1" s="15"/>
      <c r="I1" s="15"/>
      <c r="Z1" s="28"/>
    </row>
    <row r="2" spans="2:27" ht="24.95" customHeight="1" x14ac:dyDescent="0.2">
      <c r="C2" s="13"/>
      <c r="Z2" s="28"/>
    </row>
    <row r="3" spans="2:27" ht="46.5" customHeight="1" x14ac:dyDescent="0.15">
      <c r="F3" s="15" t="s">
        <v>17</v>
      </c>
      <c r="H3" s="15"/>
      <c r="I3" s="29" t="s">
        <v>40</v>
      </c>
      <c r="J3" s="28"/>
      <c r="K3" s="28"/>
      <c r="L3" s="15" t="s">
        <v>39</v>
      </c>
      <c r="Z3" s="28"/>
    </row>
    <row r="4" spans="2:27" ht="8.1" customHeight="1" x14ac:dyDescent="0.15">
      <c r="Z4" s="28"/>
    </row>
    <row r="5" spans="2:27" ht="20.25" customHeight="1" x14ac:dyDescent="0.15">
      <c r="B5" s="87" t="s">
        <v>37</v>
      </c>
      <c r="C5" s="88"/>
      <c r="D5" s="9"/>
      <c r="E5" s="87" t="s">
        <v>37</v>
      </c>
      <c r="F5" s="88"/>
      <c r="G5" s="9"/>
      <c r="H5" s="87" t="s">
        <v>37</v>
      </c>
      <c r="I5" s="88"/>
      <c r="J5" s="9"/>
      <c r="K5" s="87" t="s">
        <v>37</v>
      </c>
      <c r="L5" s="88"/>
      <c r="M5" s="9"/>
      <c r="N5" s="87" t="s">
        <v>37</v>
      </c>
      <c r="O5" s="88"/>
      <c r="S5" s="89" t="s">
        <v>33</v>
      </c>
      <c r="T5" s="89"/>
      <c r="Z5" s="28"/>
    </row>
    <row r="6" spans="2:27" ht="20.25" customHeight="1" x14ac:dyDescent="0.2">
      <c r="B6" s="1" t="s">
        <v>0</v>
      </c>
      <c r="C6" s="10"/>
      <c r="D6" s="9"/>
      <c r="E6" s="1" t="s">
        <v>0</v>
      </c>
      <c r="F6" s="10"/>
      <c r="G6" s="9"/>
      <c r="H6" s="1" t="s">
        <v>0</v>
      </c>
      <c r="I6" s="10"/>
      <c r="J6" s="9"/>
      <c r="K6" s="1" t="s">
        <v>0</v>
      </c>
      <c r="L6" s="10"/>
      <c r="M6" s="9"/>
      <c r="N6" s="1" t="s">
        <v>0</v>
      </c>
      <c r="O6" s="10"/>
      <c r="R6" s="16"/>
      <c r="S6" s="90" t="s">
        <v>66</v>
      </c>
      <c r="T6" s="91"/>
      <c r="Z6" s="28"/>
    </row>
    <row r="7" spans="2:27" ht="20.25" customHeight="1" x14ac:dyDescent="0.15">
      <c r="B7" s="1" t="s">
        <v>1</v>
      </c>
      <c r="C7" s="86"/>
      <c r="D7" s="7"/>
      <c r="E7" s="1" t="s">
        <v>1</v>
      </c>
      <c r="F7" s="14"/>
      <c r="G7" s="7"/>
      <c r="H7" s="1" t="s">
        <v>1</v>
      </c>
      <c r="I7" s="14"/>
      <c r="J7" s="7"/>
      <c r="K7" s="1" t="s">
        <v>1</v>
      </c>
      <c r="L7" s="14"/>
      <c r="M7" s="7"/>
      <c r="N7" s="1" t="s">
        <v>1</v>
      </c>
      <c r="O7" s="14"/>
      <c r="R7" s="17" t="s">
        <v>5</v>
      </c>
      <c r="S7" s="90">
        <f>IF(S6="","",EDATE(S6,3))</f>
        <v>46147</v>
      </c>
      <c r="T7" s="91"/>
      <c r="U7" s="28" t="s">
        <v>18</v>
      </c>
      <c r="V7" s="12" t="s">
        <v>7</v>
      </c>
      <c r="X7" s="12" t="s">
        <v>8</v>
      </c>
      <c r="Z7" s="28" t="s">
        <v>19</v>
      </c>
      <c r="AA7" s="12" t="s">
        <v>20</v>
      </c>
    </row>
    <row r="8" spans="2:27" ht="20.25" customHeight="1" x14ac:dyDescent="0.15">
      <c r="B8" s="1" t="s">
        <v>2</v>
      </c>
      <c r="C8" s="2"/>
      <c r="D8" s="7"/>
      <c r="E8" s="1" t="s">
        <v>2</v>
      </c>
      <c r="F8" s="2"/>
      <c r="G8" s="7"/>
      <c r="H8" s="1" t="s">
        <v>2</v>
      </c>
      <c r="I8" s="2"/>
      <c r="J8" s="7"/>
      <c r="K8" s="1" t="s">
        <v>2</v>
      </c>
      <c r="L8" s="2"/>
      <c r="M8" s="7"/>
      <c r="N8" s="1" t="s">
        <v>2</v>
      </c>
      <c r="O8" s="2"/>
      <c r="R8" s="17" t="s">
        <v>6</v>
      </c>
      <c r="S8" s="90">
        <f>IF(S6="","",EDATE(S6,6))</f>
        <v>46239</v>
      </c>
      <c r="T8" s="91"/>
      <c r="U8" s="18"/>
      <c r="V8" s="19" t="s">
        <v>36</v>
      </c>
      <c r="X8" s="19" t="s">
        <v>36</v>
      </c>
      <c r="Z8" s="20">
        <v>0</v>
      </c>
      <c r="AA8" s="19" t="s">
        <v>36</v>
      </c>
    </row>
    <row r="9" spans="2:27" s="21" customFormat="1" ht="55.5" customHeight="1" x14ac:dyDescent="0.15">
      <c r="B9" s="3" t="s">
        <v>3</v>
      </c>
      <c r="C9" s="1"/>
      <c r="D9" s="8"/>
      <c r="E9" s="3" t="s">
        <v>3</v>
      </c>
      <c r="F9" s="1"/>
      <c r="G9" s="8"/>
      <c r="H9" s="3" t="s">
        <v>3</v>
      </c>
      <c r="I9" s="1"/>
      <c r="J9" s="8"/>
      <c r="K9" s="3" t="s">
        <v>3</v>
      </c>
      <c r="L9" s="1"/>
      <c r="M9" s="8"/>
      <c r="N9" s="3" t="s">
        <v>3</v>
      </c>
      <c r="O9" s="1"/>
      <c r="V9" s="22"/>
      <c r="X9" s="22"/>
      <c r="Y9" s="12"/>
      <c r="Z9" s="28"/>
      <c r="AA9" s="19"/>
    </row>
    <row r="10" spans="2:27" ht="20.25" customHeight="1" x14ac:dyDescent="0.15">
      <c r="B10" s="1" t="s">
        <v>4</v>
      </c>
      <c r="C10" s="23" t="s">
        <v>36</v>
      </c>
      <c r="D10" s="9"/>
      <c r="E10" s="1" t="s">
        <v>4</v>
      </c>
      <c r="F10" s="23" t="s">
        <v>36</v>
      </c>
      <c r="G10" s="9"/>
      <c r="H10" s="1" t="s">
        <v>4</v>
      </c>
      <c r="I10" s="23" t="s">
        <v>36</v>
      </c>
      <c r="J10" s="9"/>
      <c r="K10" s="1" t="s">
        <v>4</v>
      </c>
      <c r="L10" s="23" t="s">
        <v>36</v>
      </c>
      <c r="M10" s="9"/>
      <c r="N10" s="1" t="s">
        <v>4</v>
      </c>
      <c r="O10" s="23" t="s">
        <v>36</v>
      </c>
      <c r="Q10" s="12" t="s">
        <v>32</v>
      </c>
      <c r="R10" s="17" t="s">
        <v>5</v>
      </c>
      <c r="S10" s="90"/>
      <c r="T10" s="91"/>
      <c r="V10" s="19" t="s">
        <v>9</v>
      </c>
      <c r="X10" s="19" t="s">
        <v>14</v>
      </c>
      <c r="Z10" s="28"/>
      <c r="AA10" s="19" t="s">
        <v>23</v>
      </c>
    </row>
    <row r="11" spans="2:27" ht="20.25" customHeight="1" x14ac:dyDescent="0.15">
      <c r="B11" s="24"/>
      <c r="C11" s="25">
        <v>1</v>
      </c>
      <c r="D11" s="25">
        <v>1</v>
      </c>
      <c r="E11" s="25"/>
      <c r="F11" s="25">
        <v>2</v>
      </c>
      <c r="G11" s="25">
        <v>2</v>
      </c>
      <c r="H11" s="25"/>
      <c r="I11" s="25">
        <v>3</v>
      </c>
      <c r="J11" s="25">
        <v>2</v>
      </c>
      <c r="K11" s="25"/>
      <c r="L11" s="25">
        <v>4</v>
      </c>
      <c r="M11" s="25">
        <v>2</v>
      </c>
      <c r="N11" s="25"/>
      <c r="O11" s="25">
        <v>5</v>
      </c>
      <c r="R11" s="17" t="s">
        <v>6</v>
      </c>
      <c r="S11" s="90"/>
      <c r="T11" s="91"/>
      <c r="V11" s="19" t="s">
        <v>10</v>
      </c>
      <c r="X11" s="19" t="s">
        <v>15</v>
      </c>
      <c r="Z11" s="28"/>
      <c r="AA11" s="19" t="s">
        <v>24</v>
      </c>
    </row>
    <row r="12" spans="2:27" ht="20.25" customHeight="1" x14ac:dyDescent="0.15">
      <c r="B12" s="87" t="s">
        <v>37</v>
      </c>
      <c r="C12" s="88"/>
      <c r="D12" s="9"/>
      <c r="E12" s="87" t="s">
        <v>37</v>
      </c>
      <c r="F12" s="88"/>
      <c r="G12" s="9"/>
      <c r="H12" s="87" t="s">
        <v>37</v>
      </c>
      <c r="I12" s="88"/>
      <c r="J12" s="9"/>
      <c r="K12" s="87" t="s">
        <v>37</v>
      </c>
      <c r="L12" s="88"/>
      <c r="M12" s="9"/>
      <c r="N12" s="87" t="s">
        <v>37</v>
      </c>
      <c r="O12" s="88"/>
      <c r="V12" s="19" t="s">
        <v>11</v>
      </c>
      <c r="X12" s="19" t="s">
        <v>16</v>
      </c>
      <c r="Z12" s="28"/>
      <c r="AA12" s="19" t="s">
        <v>25</v>
      </c>
    </row>
    <row r="13" spans="2:27" ht="20.25" customHeight="1" x14ac:dyDescent="0.15">
      <c r="B13" s="1" t="s">
        <v>0</v>
      </c>
      <c r="C13" s="10"/>
      <c r="D13" s="9"/>
      <c r="E13" s="1" t="s">
        <v>0</v>
      </c>
      <c r="F13" s="10"/>
      <c r="G13" s="9"/>
      <c r="H13" s="1" t="s">
        <v>0</v>
      </c>
      <c r="I13" s="10"/>
      <c r="J13" s="9"/>
      <c r="K13" s="1" t="s">
        <v>0</v>
      </c>
      <c r="L13" s="10"/>
      <c r="M13" s="9"/>
      <c r="N13" s="1" t="s">
        <v>0</v>
      </c>
      <c r="O13" s="10"/>
      <c r="V13" s="19" t="s">
        <v>12</v>
      </c>
      <c r="Z13" s="28"/>
      <c r="AA13" s="19" t="s">
        <v>26</v>
      </c>
    </row>
    <row r="14" spans="2:27" ht="20.25" customHeight="1" x14ac:dyDescent="0.15">
      <c r="B14" s="1" t="s">
        <v>1</v>
      </c>
      <c r="C14" s="14"/>
      <c r="D14" s="9"/>
      <c r="E14" s="1" t="s">
        <v>1</v>
      </c>
      <c r="F14" s="14"/>
      <c r="G14" s="9"/>
      <c r="H14" s="1" t="s">
        <v>1</v>
      </c>
      <c r="I14" s="14"/>
      <c r="J14" s="9"/>
      <c r="K14" s="1" t="s">
        <v>1</v>
      </c>
      <c r="L14" s="14"/>
      <c r="M14" s="9"/>
      <c r="N14" s="1" t="s">
        <v>1</v>
      </c>
      <c r="O14" s="14"/>
      <c r="V14" s="19" t="s">
        <v>13</v>
      </c>
      <c r="Z14" s="28"/>
      <c r="AA14" s="19" t="s">
        <v>27</v>
      </c>
    </row>
    <row r="15" spans="2:27" ht="20.25" customHeight="1" x14ac:dyDescent="0.15">
      <c r="B15" s="1" t="s">
        <v>2</v>
      </c>
      <c r="C15" s="2"/>
      <c r="D15" s="7"/>
      <c r="E15" s="1" t="s">
        <v>2</v>
      </c>
      <c r="F15" s="2"/>
      <c r="G15" s="7"/>
      <c r="H15" s="1" t="s">
        <v>2</v>
      </c>
      <c r="I15" s="2"/>
      <c r="J15" s="7"/>
      <c r="K15" s="1" t="s">
        <v>2</v>
      </c>
      <c r="L15" s="2"/>
      <c r="M15" s="7"/>
      <c r="N15" s="1" t="s">
        <v>2</v>
      </c>
      <c r="O15" s="2"/>
      <c r="Z15" s="28"/>
      <c r="AA15" s="19" t="s">
        <v>28</v>
      </c>
    </row>
    <row r="16" spans="2:27" ht="55.5" customHeight="1" x14ac:dyDescent="0.15">
      <c r="B16" s="3" t="s">
        <v>3</v>
      </c>
      <c r="C16" s="1"/>
      <c r="D16" s="8"/>
      <c r="E16" s="3" t="s">
        <v>3</v>
      </c>
      <c r="F16" s="1"/>
      <c r="G16" s="8"/>
      <c r="H16" s="3" t="s">
        <v>3</v>
      </c>
      <c r="I16" s="1"/>
      <c r="J16" s="8"/>
      <c r="K16" s="3" t="s">
        <v>3</v>
      </c>
      <c r="L16" s="1"/>
      <c r="M16" s="8"/>
      <c r="N16" s="3" t="s">
        <v>3</v>
      </c>
      <c r="O16" s="1"/>
      <c r="Z16" s="28"/>
      <c r="AA16" s="19" t="s">
        <v>29</v>
      </c>
    </row>
    <row r="17" spans="2:27" ht="20.25" customHeight="1" x14ac:dyDescent="0.15">
      <c r="B17" s="1" t="s">
        <v>4</v>
      </c>
      <c r="C17" s="23" t="s">
        <v>36</v>
      </c>
      <c r="D17" s="9"/>
      <c r="E17" s="1" t="s">
        <v>4</v>
      </c>
      <c r="F17" s="23" t="s">
        <v>36</v>
      </c>
      <c r="G17" s="9"/>
      <c r="H17" s="1" t="s">
        <v>4</v>
      </c>
      <c r="I17" s="23" t="s">
        <v>36</v>
      </c>
      <c r="J17" s="9"/>
      <c r="K17" s="1" t="s">
        <v>4</v>
      </c>
      <c r="L17" s="23" t="s">
        <v>36</v>
      </c>
      <c r="M17" s="9"/>
      <c r="N17" s="1" t="s">
        <v>4</v>
      </c>
      <c r="O17" s="23" t="s">
        <v>36</v>
      </c>
      <c r="Z17" s="28"/>
      <c r="AA17" s="19" t="s">
        <v>30</v>
      </c>
    </row>
    <row r="18" spans="2:27" ht="20.25" customHeight="1" x14ac:dyDescent="0.15">
      <c r="B18" s="24"/>
      <c r="C18" s="25">
        <v>6</v>
      </c>
      <c r="D18" s="25"/>
      <c r="E18" s="25"/>
      <c r="F18" s="25">
        <v>7</v>
      </c>
      <c r="G18" s="25"/>
      <c r="H18" s="25"/>
      <c r="I18" s="25">
        <v>8</v>
      </c>
      <c r="J18" s="25"/>
      <c r="K18" s="25"/>
      <c r="L18" s="25">
        <v>9</v>
      </c>
      <c r="M18" s="25"/>
      <c r="N18" s="25"/>
      <c r="O18" s="25">
        <v>10</v>
      </c>
      <c r="Z18" s="28"/>
      <c r="AA18" s="19" t="s">
        <v>31</v>
      </c>
    </row>
    <row r="19" spans="2:27" ht="20.25" customHeight="1" x14ac:dyDescent="0.15">
      <c r="B19" s="87" t="s">
        <v>37</v>
      </c>
      <c r="C19" s="88"/>
      <c r="D19" s="9"/>
      <c r="E19" s="87" t="s">
        <v>37</v>
      </c>
      <c r="F19" s="88"/>
      <c r="G19" s="9"/>
      <c r="H19" s="87" t="s">
        <v>37</v>
      </c>
      <c r="I19" s="88"/>
      <c r="J19" s="9"/>
      <c r="K19" s="87" t="s">
        <v>37</v>
      </c>
      <c r="L19" s="88"/>
      <c r="M19" s="9"/>
      <c r="N19" s="87" t="s">
        <v>37</v>
      </c>
      <c r="O19" s="88"/>
      <c r="Y19" s="12" t="s">
        <v>21</v>
      </c>
      <c r="Z19" s="28" t="s">
        <v>22</v>
      </c>
      <c r="AA19" s="19"/>
    </row>
    <row r="20" spans="2:27" ht="20.25" customHeight="1" x14ac:dyDescent="0.15">
      <c r="B20" s="1" t="s">
        <v>0</v>
      </c>
      <c r="C20" s="10"/>
      <c r="D20" s="9"/>
      <c r="E20" s="1" t="s">
        <v>0</v>
      </c>
      <c r="F20" s="10"/>
      <c r="G20" s="9"/>
      <c r="H20" s="1" t="s">
        <v>0</v>
      </c>
      <c r="I20" s="10"/>
      <c r="J20" s="9"/>
      <c r="K20" s="1" t="s">
        <v>0</v>
      </c>
      <c r="L20" s="10"/>
      <c r="M20" s="9"/>
      <c r="N20" s="1" t="s">
        <v>0</v>
      </c>
      <c r="O20" s="10"/>
      <c r="Z20" s="28"/>
    </row>
    <row r="21" spans="2:27" ht="20.25" customHeight="1" x14ac:dyDescent="0.15">
      <c r="B21" s="1" t="s">
        <v>1</v>
      </c>
      <c r="C21" s="14"/>
      <c r="D21" s="8"/>
      <c r="E21" s="3" t="s">
        <v>1</v>
      </c>
      <c r="F21" s="14"/>
      <c r="G21" s="8"/>
      <c r="H21" s="3" t="s">
        <v>1</v>
      </c>
      <c r="I21" s="14"/>
      <c r="J21" s="8"/>
      <c r="K21" s="3" t="s">
        <v>1</v>
      </c>
      <c r="L21" s="14"/>
      <c r="M21" s="8"/>
      <c r="N21" s="3" t="s">
        <v>1</v>
      </c>
      <c r="O21" s="14"/>
      <c r="Z21" s="28"/>
    </row>
    <row r="22" spans="2:27" ht="20.25" customHeight="1" x14ac:dyDescent="0.15">
      <c r="B22" s="1" t="s">
        <v>2</v>
      </c>
      <c r="C22" s="2"/>
      <c r="D22" s="7"/>
      <c r="E22" s="1" t="s">
        <v>2</v>
      </c>
      <c r="F22" s="2"/>
      <c r="G22" s="7"/>
      <c r="H22" s="1" t="s">
        <v>2</v>
      </c>
      <c r="I22" s="2"/>
      <c r="J22" s="7"/>
      <c r="K22" s="1" t="s">
        <v>2</v>
      </c>
      <c r="L22" s="2"/>
      <c r="M22" s="7"/>
      <c r="N22" s="1" t="s">
        <v>2</v>
      </c>
      <c r="O22" s="2"/>
      <c r="Z22" s="28"/>
    </row>
    <row r="23" spans="2:27" ht="55.5" customHeight="1" x14ac:dyDescent="0.15">
      <c r="B23" s="3" t="s">
        <v>3</v>
      </c>
      <c r="C23" s="1"/>
      <c r="D23" s="8"/>
      <c r="E23" s="3" t="s">
        <v>3</v>
      </c>
      <c r="F23" s="1"/>
      <c r="G23" s="8"/>
      <c r="H23" s="3" t="s">
        <v>3</v>
      </c>
      <c r="I23" s="1"/>
      <c r="J23" s="8"/>
      <c r="K23" s="3" t="s">
        <v>3</v>
      </c>
      <c r="L23" s="1"/>
      <c r="M23" s="8"/>
      <c r="N23" s="3" t="s">
        <v>3</v>
      </c>
      <c r="O23" s="1"/>
      <c r="Z23" s="28"/>
    </row>
    <row r="24" spans="2:27" ht="20.25" customHeight="1" x14ac:dyDescent="0.15">
      <c r="B24" s="1" t="s">
        <v>4</v>
      </c>
      <c r="C24" s="23" t="s">
        <v>36</v>
      </c>
      <c r="D24" s="9"/>
      <c r="E24" s="1" t="s">
        <v>4</v>
      </c>
      <c r="F24" s="23" t="s">
        <v>36</v>
      </c>
      <c r="G24" s="9"/>
      <c r="H24" s="1" t="s">
        <v>4</v>
      </c>
      <c r="I24" s="23" t="s">
        <v>36</v>
      </c>
      <c r="J24" s="9"/>
      <c r="K24" s="1" t="s">
        <v>4</v>
      </c>
      <c r="L24" s="23" t="s">
        <v>36</v>
      </c>
      <c r="M24" s="9"/>
      <c r="N24" s="1" t="s">
        <v>4</v>
      </c>
      <c r="O24" s="23" t="s">
        <v>36</v>
      </c>
      <c r="Z24" s="28"/>
    </row>
    <row r="25" spans="2:27" ht="20.25" customHeight="1" x14ac:dyDescent="0.15">
      <c r="B25" s="4"/>
      <c r="C25" s="5">
        <v>11</v>
      </c>
      <c r="D25" s="5"/>
      <c r="E25" s="5"/>
      <c r="F25" s="5">
        <v>12</v>
      </c>
      <c r="G25" s="5"/>
      <c r="H25" s="5"/>
      <c r="I25" s="5">
        <v>13</v>
      </c>
      <c r="J25" s="5"/>
      <c r="K25" s="5"/>
      <c r="L25" s="5">
        <v>14</v>
      </c>
      <c r="M25" s="5"/>
      <c r="N25" s="5"/>
      <c r="O25" s="5">
        <v>15</v>
      </c>
      <c r="Z25" s="28"/>
    </row>
    <row r="26" spans="2:27" ht="20.25" customHeight="1" x14ac:dyDescent="0.15">
      <c r="B26" s="87" t="s">
        <v>37</v>
      </c>
      <c r="C26" s="88"/>
      <c r="D26" s="9"/>
      <c r="E26" s="87" t="s">
        <v>37</v>
      </c>
      <c r="F26" s="88"/>
      <c r="G26" s="9"/>
      <c r="H26" s="87" t="s">
        <v>37</v>
      </c>
      <c r="I26" s="88"/>
      <c r="J26" s="9"/>
      <c r="K26" s="87" t="s">
        <v>37</v>
      </c>
      <c r="L26" s="88"/>
      <c r="M26" s="9"/>
      <c r="N26" s="87" t="s">
        <v>37</v>
      </c>
      <c r="O26" s="88"/>
      <c r="Z26" s="28"/>
    </row>
    <row r="27" spans="2:27" ht="20.25" customHeight="1" x14ac:dyDescent="0.15">
      <c r="B27" s="1" t="s">
        <v>0</v>
      </c>
      <c r="C27" s="10"/>
      <c r="D27" s="9"/>
      <c r="E27" s="1" t="s">
        <v>0</v>
      </c>
      <c r="F27" s="10"/>
      <c r="G27" s="9"/>
      <c r="H27" s="1" t="s">
        <v>0</v>
      </c>
      <c r="I27" s="10"/>
      <c r="J27" s="9"/>
      <c r="K27" s="1" t="s">
        <v>0</v>
      </c>
      <c r="L27" s="10"/>
      <c r="M27" s="9"/>
      <c r="N27" s="1" t="s">
        <v>0</v>
      </c>
      <c r="O27" s="10"/>
      <c r="Z27" s="28"/>
    </row>
    <row r="28" spans="2:27" ht="20.25" customHeight="1" x14ac:dyDescent="0.15">
      <c r="B28" s="1" t="s">
        <v>1</v>
      </c>
      <c r="C28" s="14"/>
      <c r="D28" s="8"/>
      <c r="E28" s="3" t="s">
        <v>1</v>
      </c>
      <c r="F28" s="14"/>
      <c r="G28" s="8"/>
      <c r="H28" s="3" t="s">
        <v>1</v>
      </c>
      <c r="I28" s="14"/>
      <c r="J28" s="8"/>
      <c r="K28" s="3" t="s">
        <v>1</v>
      </c>
      <c r="L28" s="14"/>
      <c r="M28" s="8"/>
      <c r="N28" s="3" t="s">
        <v>1</v>
      </c>
      <c r="O28" s="14"/>
      <c r="Z28" s="28"/>
    </row>
    <row r="29" spans="2:27" ht="20.25" customHeight="1" x14ac:dyDescent="0.15">
      <c r="B29" s="1" t="s">
        <v>2</v>
      </c>
      <c r="C29" s="2"/>
      <c r="D29" s="7"/>
      <c r="E29" s="1" t="s">
        <v>2</v>
      </c>
      <c r="F29" s="2"/>
      <c r="G29" s="7"/>
      <c r="H29" s="1" t="s">
        <v>2</v>
      </c>
      <c r="I29" s="2"/>
      <c r="J29" s="7"/>
      <c r="K29" s="1" t="s">
        <v>2</v>
      </c>
      <c r="L29" s="2"/>
      <c r="M29" s="7"/>
      <c r="N29" s="1" t="s">
        <v>2</v>
      </c>
      <c r="O29" s="2"/>
      <c r="Z29" s="28"/>
    </row>
    <row r="30" spans="2:27" ht="55.5" customHeight="1" x14ac:dyDescent="0.15">
      <c r="B30" s="1" t="s">
        <v>3</v>
      </c>
      <c r="C30" s="1"/>
      <c r="D30" s="9"/>
      <c r="E30" s="1" t="s">
        <v>3</v>
      </c>
      <c r="F30" s="1"/>
      <c r="G30" s="9"/>
      <c r="H30" s="1" t="s">
        <v>3</v>
      </c>
      <c r="I30" s="1"/>
      <c r="J30" s="9"/>
      <c r="K30" s="1" t="s">
        <v>3</v>
      </c>
      <c r="L30" s="1"/>
      <c r="M30" s="9"/>
      <c r="N30" s="1" t="s">
        <v>3</v>
      </c>
      <c r="O30" s="1"/>
      <c r="Z30" s="28"/>
    </row>
    <row r="31" spans="2:27" ht="20.25" customHeight="1" x14ac:dyDescent="0.15">
      <c r="B31" s="1" t="s">
        <v>4</v>
      </c>
      <c r="C31" s="23" t="s">
        <v>36</v>
      </c>
      <c r="D31" s="9"/>
      <c r="E31" s="1" t="s">
        <v>4</v>
      </c>
      <c r="F31" s="23" t="s">
        <v>36</v>
      </c>
      <c r="G31" s="9"/>
      <c r="H31" s="1" t="s">
        <v>4</v>
      </c>
      <c r="I31" s="23" t="s">
        <v>36</v>
      </c>
      <c r="J31" s="9"/>
      <c r="K31" s="1" t="s">
        <v>4</v>
      </c>
      <c r="L31" s="23" t="s">
        <v>36</v>
      </c>
      <c r="M31" s="9"/>
      <c r="N31" s="1" t="s">
        <v>4</v>
      </c>
      <c r="O31" s="23" t="s">
        <v>36</v>
      </c>
      <c r="Z31" s="28"/>
    </row>
    <row r="32" spans="2:27" ht="20.25" customHeight="1" x14ac:dyDescent="0.15">
      <c r="B32" s="4"/>
      <c r="C32" s="5">
        <v>16</v>
      </c>
      <c r="D32" s="5"/>
      <c r="E32" s="5"/>
      <c r="F32" s="5">
        <v>17</v>
      </c>
      <c r="G32" s="5"/>
      <c r="H32" s="5"/>
      <c r="I32" s="5">
        <v>18</v>
      </c>
      <c r="J32" s="5"/>
      <c r="K32" s="5"/>
      <c r="L32" s="5">
        <v>19</v>
      </c>
      <c r="M32" s="5"/>
      <c r="N32" s="5"/>
      <c r="O32" s="5">
        <v>20</v>
      </c>
      <c r="Z32" s="28"/>
    </row>
    <row r="33" spans="2:26" ht="20.25" customHeight="1" x14ac:dyDescent="0.15">
      <c r="B33" s="87" t="s">
        <v>37</v>
      </c>
      <c r="C33" s="88"/>
      <c r="D33" s="9"/>
      <c r="E33" s="87" t="s">
        <v>37</v>
      </c>
      <c r="F33" s="88"/>
      <c r="G33" s="9"/>
      <c r="H33" s="87" t="s">
        <v>37</v>
      </c>
      <c r="I33" s="88"/>
      <c r="J33" s="9"/>
      <c r="K33" s="87" t="s">
        <v>37</v>
      </c>
      <c r="L33" s="88"/>
      <c r="M33" s="9"/>
      <c r="N33" s="87" t="s">
        <v>37</v>
      </c>
      <c r="O33" s="88"/>
      <c r="Z33" s="28"/>
    </row>
    <row r="34" spans="2:26" ht="20.25" customHeight="1" x14ac:dyDescent="0.15">
      <c r="B34" s="1" t="s">
        <v>0</v>
      </c>
      <c r="C34" s="10"/>
      <c r="D34" s="9"/>
      <c r="E34" s="1" t="s">
        <v>0</v>
      </c>
      <c r="F34" s="10"/>
      <c r="G34" s="9"/>
      <c r="H34" s="1" t="s">
        <v>0</v>
      </c>
      <c r="I34" s="10"/>
      <c r="J34" s="9"/>
      <c r="K34" s="1" t="s">
        <v>0</v>
      </c>
      <c r="L34" s="10"/>
      <c r="M34" s="9"/>
      <c r="N34" s="1" t="s">
        <v>0</v>
      </c>
      <c r="O34" s="10"/>
      <c r="Z34" s="28"/>
    </row>
    <row r="35" spans="2:26" ht="20.25" customHeight="1" x14ac:dyDescent="0.15">
      <c r="B35" s="1" t="s">
        <v>1</v>
      </c>
      <c r="C35" s="14"/>
      <c r="D35" s="11"/>
      <c r="E35" s="6" t="s">
        <v>1</v>
      </c>
      <c r="F35" s="14"/>
      <c r="G35" s="11"/>
      <c r="H35" s="6" t="s">
        <v>1</v>
      </c>
      <c r="I35" s="14"/>
      <c r="J35" s="11"/>
      <c r="K35" s="6" t="s">
        <v>1</v>
      </c>
      <c r="L35" s="14"/>
      <c r="M35" s="11"/>
      <c r="N35" s="6" t="s">
        <v>1</v>
      </c>
      <c r="O35" s="14"/>
      <c r="Z35" s="28"/>
    </row>
    <row r="36" spans="2:26" ht="20.25" customHeight="1" x14ac:dyDescent="0.15">
      <c r="B36" s="1" t="s">
        <v>2</v>
      </c>
      <c r="C36" s="2"/>
      <c r="D36" s="7"/>
      <c r="E36" s="1" t="s">
        <v>2</v>
      </c>
      <c r="F36" s="2"/>
      <c r="G36" s="7"/>
      <c r="H36" s="1" t="s">
        <v>2</v>
      </c>
      <c r="I36" s="2"/>
      <c r="J36" s="7"/>
      <c r="K36" s="1" t="s">
        <v>2</v>
      </c>
      <c r="L36" s="2"/>
      <c r="M36" s="7"/>
      <c r="N36" s="1" t="s">
        <v>2</v>
      </c>
      <c r="O36" s="2"/>
      <c r="Z36" s="28"/>
    </row>
    <row r="37" spans="2:26" ht="55.5" customHeight="1" x14ac:dyDescent="0.15">
      <c r="B37" s="1" t="s">
        <v>3</v>
      </c>
      <c r="C37" s="1"/>
      <c r="D37" s="9"/>
      <c r="E37" s="1" t="s">
        <v>3</v>
      </c>
      <c r="F37" s="1"/>
      <c r="G37" s="9"/>
      <c r="H37" s="1" t="s">
        <v>3</v>
      </c>
      <c r="I37" s="1"/>
      <c r="J37" s="9"/>
      <c r="K37" s="1" t="s">
        <v>3</v>
      </c>
      <c r="L37" s="1"/>
      <c r="M37" s="9"/>
      <c r="N37" s="1" t="s">
        <v>3</v>
      </c>
      <c r="O37" s="1"/>
      <c r="Z37" s="28"/>
    </row>
    <row r="38" spans="2:26" ht="20.25" customHeight="1" x14ac:dyDescent="0.15">
      <c r="B38" s="1" t="s">
        <v>4</v>
      </c>
      <c r="C38" s="23" t="s">
        <v>36</v>
      </c>
      <c r="D38" s="9"/>
      <c r="E38" s="1" t="s">
        <v>4</v>
      </c>
      <c r="F38" s="23" t="s">
        <v>36</v>
      </c>
      <c r="G38" s="9"/>
      <c r="H38" s="1" t="s">
        <v>4</v>
      </c>
      <c r="I38" s="23" t="s">
        <v>36</v>
      </c>
      <c r="J38" s="9"/>
      <c r="K38" s="1" t="s">
        <v>4</v>
      </c>
      <c r="L38" s="23" t="s">
        <v>36</v>
      </c>
      <c r="M38" s="9"/>
      <c r="N38" s="1" t="s">
        <v>4</v>
      </c>
      <c r="O38" s="23" t="s">
        <v>36</v>
      </c>
      <c r="Z38" s="28"/>
    </row>
    <row r="39" spans="2:26" ht="20.25" customHeight="1" x14ac:dyDescent="0.15">
      <c r="B39" s="4"/>
      <c r="C39" s="5">
        <v>21</v>
      </c>
      <c r="D39" s="5"/>
      <c r="E39" s="5"/>
      <c r="F39" s="5">
        <v>22</v>
      </c>
      <c r="G39" s="5"/>
      <c r="H39" s="5"/>
      <c r="I39" s="5">
        <v>23</v>
      </c>
      <c r="J39" s="5"/>
      <c r="K39" s="5"/>
      <c r="L39" s="5">
        <v>24</v>
      </c>
      <c r="M39" s="5"/>
      <c r="N39" s="5"/>
      <c r="O39" s="5">
        <v>25</v>
      </c>
      <c r="Z39" s="28"/>
    </row>
    <row r="40" spans="2:26" ht="20.25" customHeight="1" x14ac:dyDescent="0.15">
      <c r="B40" s="87" t="s">
        <v>37</v>
      </c>
      <c r="C40" s="88"/>
      <c r="D40" s="9"/>
      <c r="E40" s="87" t="s">
        <v>37</v>
      </c>
      <c r="F40" s="88"/>
      <c r="G40" s="9"/>
      <c r="H40" s="87" t="s">
        <v>37</v>
      </c>
      <c r="I40" s="88"/>
      <c r="J40" s="9"/>
      <c r="K40" s="87" t="s">
        <v>37</v>
      </c>
      <c r="L40" s="88"/>
      <c r="M40" s="9"/>
      <c r="N40" s="87" t="s">
        <v>37</v>
      </c>
      <c r="O40" s="88"/>
      <c r="Z40" s="28"/>
    </row>
    <row r="41" spans="2:26" ht="20.25" customHeight="1" x14ac:dyDescent="0.15">
      <c r="B41" s="1" t="s">
        <v>0</v>
      </c>
      <c r="C41" s="10"/>
      <c r="D41" s="9"/>
      <c r="E41" s="1" t="s">
        <v>0</v>
      </c>
      <c r="F41" s="10"/>
      <c r="G41" s="9"/>
      <c r="H41" s="1" t="s">
        <v>0</v>
      </c>
      <c r="I41" s="10"/>
      <c r="J41" s="9"/>
      <c r="K41" s="1" t="s">
        <v>0</v>
      </c>
      <c r="L41" s="10"/>
      <c r="M41" s="9"/>
      <c r="N41" s="1" t="s">
        <v>0</v>
      </c>
      <c r="O41" s="10"/>
      <c r="Z41" s="28"/>
    </row>
    <row r="42" spans="2:26" ht="20.25" customHeight="1" x14ac:dyDescent="0.15">
      <c r="B42" s="1" t="s">
        <v>1</v>
      </c>
      <c r="C42" s="14"/>
      <c r="D42" s="11"/>
      <c r="E42" s="6" t="s">
        <v>1</v>
      </c>
      <c r="F42" s="14"/>
      <c r="G42" s="11"/>
      <c r="H42" s="6" t="s">
        <v>1</v>
      </c>
      <c r="I42" s="14"/>
      <c r="J42" s="11"/>
      <c r="K42" s="6" t="s">
        <v>1</v>
      </c>
      <c r="L42" s="14"/>
      <c r="M42" s="11"/>
      <c r="N42" s="6" t="s">
        <v>1</v>
      </c>
      <c r="O42" s="14"/>
      <c r="Z42" s="28"/>
    </row>
    <row r="43" spans="2:26" ht="20.25" customHeight="1" x14ac:dyDescent="0.15">
      <c r="B43" s="1" t="s">
        <v>2</v>
      </c>
      <c r="C43" s="2"/>
      <c r="D43" s="7"/>
      <c r="E43" s="1" t="s">
        <v>2</v>
      </c>
      <c r="F43" s="2"/>
      <c r="G43" s="7"/>
      <c r="H43" s="1" t="s">
        <v>2</v>
      </c>
      <c r="I43" s="2"/>
      <c r="J43" s="7"/>
      <c r="K43" s="1" t="s">
        <v>2</v>
      </c>
      <c r="L43" s="2"/>
      <c r="M43" s="7"/>
      <c r="N43" s="1" t="s">
        <v>2</v>
      </c>
      <c r="O43" s="2"/>
      <c r="Z43" s="28"/>
    </row>
    <row r="44" spans="2:26" ht="55.5" customHeight="1" x14ac:dyDescent="0.15">
      <c r="B44" s="1" t="s">
        <v>3</v>
      </c>
      <c r="C44" s="1"/>
      <c r="D44" s="9"/>
      <c r="E44" s="1" t="s">
        <v>3</v>
      </c>
      <c r="F44" s="1"/>
      <c r="G44" s="9"/>
      <c r="H44" s="1" t="s">
        <v>3</v>
      </c>
      <c r="I44" s="1"/>
      <c r="J44" s="9"/>
      <c r="K44" s="1" t="s">
        <v>3</v>
      </c>
      <c r="L44" s="1"/>
      <c r="M44" s="9"/>
      <c r="N44" s="1" t="s">
        <v>3</v>
      </c>
      <c r="O44" s="1"/>
      <c r="Z44" s="28"/>
    </row>
    <row r="45" spans="2:26" ht="20.25" customHeight="1" x14ac:dyDescent="0.15">
      <c r="B45" s="1" t="s">
        <v>4</v>
      </c>
      <c r="C45" s="23" t="s">
        <v>36</v>
      </c>
      <c r="D45" s="9"/>
      <c r="E45" s="1" t="s">
        <v>4</v>
      </c>
      <c r="F45" s="23" t="s">
        <v>36</v>
      </c>
      <c r="G45" s="9"/>
      <c r="H45" s="1" t="s">
        <v>4</v>
      </c>
      <c r="I45" s="23" t="s">
        <v>36</v>
      </c>
      <c r="J45" s="9"/>
      <c r="K45" s="1" t="s">
        <v>4</v>
      </c>
      <c r="L45" s="23" t="s">
        <v>36</v>
      </c>
      <c r="M45" s="9"/>
      <c r="N45" s="1" t="s">
        <v>4</v>
      </c>
      <c r="O45" s="23" t="s">
        <v>36</v>
      </c>
      <c r="Z45" s="28"/>
    </row>
    <row r="46" spans="2:26" ht="20.25" customHeight="1" x14ac:dyDescent="0.15">
      <c r="B46" s="4"/>
      <c r="C46" s="5">
        <v>26</v>
      </c>
      <c r="D46" s="5">
        <v>1</v>
      </c>
      <c r="E46" s="5"/>
      <c r="F46" s="5">
        <v>27</v>
      </c>
      <c r="G46" s="5">
        <v>1</v>
      </c>
      <c r="H46" s="5"/>
      <c r="I46" s="5">
        <v>28</v>
      </c>
      <c r="J46" s="5"/>
      <c r="K46" s="5"/>
      <c r="L46" s="5">
        <v>29</v>
      </c>
      <c r="M46" s="5"/>
      <c r="N46" s="5"/>
      <c r="O46" s="5">
        <v>30</v>
      </c>
      <c r="Z46" s="28"/>
    </row>
    <row r="47" spans="2:26" ht="20.25" customHeight="1" x14ac:dyDescent="0.15">
      <c r="B47" s="87" t="s">
        <v>37</v>
      </c>
      <c r="C47" s="88"/>
      <c r="D47" s="9"/>
      <c r="E47" s="87" t="s">
        <v>37</v>
      </c>
      <c r="F47" s="88"/>
      <c r="G47" s="9"/>
      <c r="H47" s="87" t="s">
        <v>37</v>
      </c>
      <c r="I47" s="88"/>
      <c r="J47" s="9"/>
      <c r="K47" s="87" t="s">
        <v>37</v>
      </c>
      <c r="L47" s="88"/>
      <c r="M47" s="9"/>
      <c r="N47" s="87" t="s">
        <v>37</v>
      </c>
      <c r="O47" s="88"/>
      <c r="Z47" s="28"/>
    </row>
    <row r="48" spans="2:26" ht="20.25" customHeight="1" x14ac:dyDescent="0.15">
      <c r="B48" s="1" t="s">
        <v>0</v>
      </c>
      <c r="C48" s="10"/>
      <c r="D48" s="9"/>
      <c r="E48" s="1" t="s">
        <v>0</v>
      </c>
      <c r="F48" s="10"/>
      <c r="G48" s="9"/>
      <c r="H48" s="1" t="s">
        <v>0</v>
      </c>
      <c r="I48" s="10"/>
      <c r="J48" s="9"/>
      <c r="K48" s="1" t="s">
        <v>0</v>
      </c>
      <c r="L48" s="10"/>
      <c r="M48" s="9"/>
      <c r="N48" s="1" t="s">
        <v>0</v>
      </c>
      <c r="O48" s="10"/>
      <c r="Z48" s="28"/>
    </row>
    <row r="49" spans="2:26" ht="20.25" customHeight="1" x14ac:dyDescent="0.15">
      <c r="B49" s="1" t="s">
        <v>1</v>
      </c>
      <c r="C49" s="14"/>
      <c r="D49" s="11"/>
      <c r="E49" s="6" t="s">
        <v>1</v>
      </c>
      <c r="F49" s="14"/>
      <c r="G49" s="11"/>
      <c r="H49" s="6" t="s">
        <v>1</v>
      </c>
      <c r="I49" s="14"/>
      <c r="J49" s="11"/>
      <c r="K49" s="6" t="s">
        <v>1</v>
      </c>
      <c r="L49" s="14"/>
      <c r="M49" s="11"/>
      <c r="N49" s="6" t="s">
        <v>1</v>
      </c>
      <c r="O49" s="14"/>
      <c r="Z49" s="28"/>
    </row>
    <row r="50" spans="2:26" ht="20.25" customHeight="1" x14ac:dyDescent="0.15">
      <c r="B50" s="1" t="s">
        <v>2</v>
      </c>
      <c r="C50" s="2"/>
      <c r="D50" s="7"/>
      <c r="E50" s="1" t="s">
        <v>2</v>
      </c>
      <c r="F50" s="2"/>
      <c r="G50" s="7"/>
      <c r="H50" s="1" t="s">
        <v>2</v>
      </c>
      <c r="I50" s="2"/>
      <c r="J50" s="7"/>
      <c r="K50" s="1" t="s">
        <v>2</v>
      </c>
      <c r="L50" s="2"/>
      <c r="M50" s="7"/>
      <c r="N50" s="1" t="s">
        <v>2</v>
      </c>
      <c r="O50" s="2"/>
      <c r="Z50" s="28"/>
    </row>
    <row r="51" spans="2:26" ht="55.5" customHeight="1" x14ac:dyDescent="0.15">
      <c r="B51" s="1" t="s">
        <v>3</v>
      </c>
      <c r="C51" s="1"/>
      <c r="D51" s="9"/>
      <c r="E51" s="1" t="s">
        <v>3</v>
      </c>
      <c r="F51" s="1"/>
      <c r="G51" s="9"/>
      <c r="H51" s="1" t="s">
        <v>3</v>
      </c>
      <c r="I51" s="1"/>
      <c r="J51" s="9"/>
      <c r="K51" s="1" t="s">
        <v>3</v>
      </c>
      <c r="L51" s="1"/>
      <c r="M51" s="9"/>
      <c r="N51" s="1" t="s">
        <v>3</v>
      </c>
      <c r="O51" s="1"/>
      <c r="Z51" s="28"/>
    </row>
    <row r="52" spans="2:26" ht="20.25" customHeight="1" x14ac:dyDescent="0.15">
      <c r="B52" s="1" t="s">
        <v>4</v>
      </c>
      <c r="C52" s="23" t="s">
        <v>36</v>
      </c>
      <c r="D52" s="9"/>
      <c r="E52" s="1" t="s">
        <v>4</v>
      </c>
      <c r="F52" s="23" t="s">
        <v>36</v>
      </c>
      <c r="G52" s="9"/>
      <c r="H52" s="1" t="s">
        <v>4</v>
      </c>
      <c r="I52" s="23" t="s">
        <v>36</v>
      </c>
      <c r="J52" s="9"/>
      <c r="K52" s="1" t="s">
        <v>4</v>
      </c>
      <c r="L52" s="23" t="s">
        <v>36</v>
      </c>
      <c r="M52" s="9"/>
      <c r="N52" s="1" t="s">
        <v>4</v>
      </c>
      <c r="O52" s="23" t="s">
        <v>36</v>
      </c>
      <c r="Z52" s="28"/>
    </row>
    <row r="53" spans="2:26" ht="20.25" customHeight="1" x14ac:dyDescent="0.15">
      <c r="B53" s="4"/>
      <c r="C53" s="5">
        <v>31</v>
      </c>
      <c r="D53" s="5">
        <v>1</v>
      </c>
      <c r="E53" s="5"/>
      <c r="F53" s="5">
        <v>32</v>
      </c>
      <c r="G53" s="5">
        <v>1</v>
      </c>
      <c r="H53" s="5"/>
      <c r="I53" s="5">
        <v>33</v>
      </c>
      <c r="J53" s="5">
        <v>1</v>
      </c>
      <c r="K53" s="5"/>
      <c r="L53" s="5">
        <v>34</v>
      </c>
      <c r="M53" s="5">
        <v>1</v>
      </c>
      <c r="N53" s="5"/>
      <c r="O53" s="5">
        <v>35</v>
      </c>
      <c r="Z53" s="28"/>
    </row>
    <row r="54" spans="2:26" ht="20.25" customHeight="1" x14ac:dyDescent="0.15">
      <c r="B54" s="87" t="s">
        <v>37</v>
      </c>
      <c r="C54" s="88"/>
      <c r="D54" s="9"/>
      <c r="E54" s="87" t="s">
        <v>37</v>
      </c>
      <c r="F54" s="88"/>
      <c r="G54" s="9"/>
      <c r="H54" s="87" t="s">
        <v>37</v>
      </c>
      <c r="I54" s="88"/>
      <c r="J54" s="9"/>
      <c r="K54" s="87" t="s">
        <v>37</v>
      </c>
      <c r="L54" s="88"/>
      <c r="M54" s="9"/>
      <c r="N54" s="87" t="s">
        <v>37</v>
      </c>
      <c r="O54" s="88"/>
      <c r="Z54" s="28"/>
    </row>
    <row r="55" spans="2:26" ht="20.25" customHeight="1" x14ac:dyDescent="0.15">
      <c r="B55" s="1" t="s">
        <v>0</v>
      </c>
      <c r="C55" s="10"/>
      <c r="D55" s="9"/>
      <c r="E55" s="1" t="s">
        <v>0</v>
      </c>
      <c r="F55" s="10"/>
      <c r="G55" s="9"/>
      <c r="H55" s="1" t="s">
        <v>0</v>
      </c>
      <c r="I55" s="10"/>
      <c r="J55" s="9"/>
      <c r="K55" s="1" t="s">
        <v>0</v>
      </c>
      <c r="L55" s="10"/>
      <c r="M55" s="9"/>
      <c r="N55" s="1" t="s">
        <v>0</v>
      </c>
      <c r="O55" s="10"/>
      <c r="Z55" s="28"/>
    </row>
    <row r="56" spans="2:26" ht="20.25" customHeight="1" x14ac:dyDescent="0.15">
      <c r="B56" s="1" t="s">
        <v>1</v>
      </c>
      <c r="C56" s="14"/>
      <c r="D56" s="11"/>
      <c r="E56" s="6" t="s">
        <v>1</v>
      </c>
      <c r="F56" s="14"/>
      <c r="G56" s="11"/>
      <c r="H56" s="6" t="s">
        <v>1</v>
      </c>
      <c r="I56" s="14"/>
      <c r="J56" s="11"/>
      <c r="K56" s="6" t="s">
        <v>1</v>
      </c>
      <c r="L56" s="14"/>
      <c r="M56" s="11"/>
      <c r="N56" s="6" t="s">
        <v>1</v>
      </c>
      <c r="O56" s="14"/>
      <c r="Z56" s="28"/>
    </row>
    <row r="57" spans="2:26" ht="20.25" customHeight="1" x14ac:dyDescent="0.15">
      <c r="B57" s="1" t="s">
        <v>2</v>
      </c>
      <c r="C57" s="2"/>
      <c r="D57" s="7"/>
      <c r="E57" s="1" t="s">
        <v>2</v>
      </c>
      <c r="F57" s="2"/>
      <c r="G57" s="7"/>
      <c r="H57" s="1" t="s">
        <v>2</v>
      </c>
      <c r="I57" s="2"/>
      <c r="J57" s="7"/>
      <c r="K57" s="1" t="s">
        <v>2</v>
      </c>
      <c r="L57" s="2"/>
      <c r="M57" s="7"/>
      <c r="N57" s="1" t="s">
        <v>2</v>
      </c>
      <c r="O57" s="2"/>
      <c r="Z57" s="28"/>
    </row>
    <row r="58" spans="2:26" ht="55.5" customHeight="1" x14ac:dyDescent="0.15">
      <c r="B58" s="1" t="s">
        <v>3</v>
      </c>
      <c r="C58" s="1"/>
      <c r="D58" s="9"/>
      <c r="E58" s="1" t="s">
        <v>3</v>
      </c>
      <c r="F58" s="1"/>
      <c r="G58" s="9"/>
      <c r="H58" s="1" t="s">
        <v>3</v>
      </c>
      <c r="I58" s="1"/>
      <c r="J58" s="9"/>
      <c r="K58" s="1" t="s">
        <v>3</v>
      </c>
      <c r="L58" s="1"/>
      <c r="M58" s="9"/>
      <c r="N58" s="1" t="s">
        <v>3</v>
      </c>
      <c r="O58" s="1"/>
      <c r="Z58" s="28"/>
    </row>
    <row r="59" spans="2:26" ht="20.25" customHeight="1" x14ac:dyDescent="0.15">
      <c r="B59" s="1" t="s">
        <v>4</v>
      </c>
      <c r="C59" s="23" t="s">
        <v>36</v>
      </c>
      <c r="D59" s="9"/>
      <c r="E59" s="1" t="s">
        <v>4</v>
      </c>
      <c r="F59" s="23" t="s">
        <v>36</v>
      </c>
      <c r="G59" s="9"/>
      <c r="H59" s="1" t="s">
        <v>4</v>
      </c>
      <c r="I59" s="23" t="s">
        <v>36</v>
      </c>
      <c r="J59" s="9"/>
      <c r="K59" s="1" t="s">
        <v>4</v>
      </c>
      <c r="L59" s="23" t="s">
        <v>36</v>
      </c>
      <c r="M59" s="9"/>
      <c r="N59" s="1" t="s">
        <v>4</v>
      </c>
      <c r="O59" s="23" t="s">
        <v>36</v>
      </c>
      <c r="Z59" s="28"/>
    </row>
    <row r="60" spans="2:26" ht="20.25" customHeight="1" x14ac:dyDescent="0.15">
      <c r="B60" s="4"/>
      <c r="C60" s="5">
        <v>36</v>
      </c>
      <c r="D60" s="5">
        <v>1</v>
      </c>
      <c r="E60" s="5"/>
      <c r="F60" s="5">
        <v>37</v>
      </c>
      <c r="G60" s="5">
        <v>1</v>
      </c>
      <c r="H60" s="5"/>
      <c r="I60" s="5">
        <v>38</v>
      </c>
      <c r="J60" s="5">
        <v>1</v>
      </c>
      <c r="K60" s="5"/>
      <c r="L60" s="5">
        <v>39</v>
      </c>
      <c r="M60" s="5">
        <v>1</v>
      </c>
      <c r="N60" s="5"/>
      <c r="O60" s="5">
        <v>40</v>
      </c>
      <c r="Z60" s="28"/>
    </row>
    <row r="61" spans="2:26" ht="20.25" customHeight="1" x14ac:dyDescent="0.15">
      <c r="B61" s="87" t="s">
        <v>37</v>
      </c>
      <c r="C61" s="88"/>
      <c r="D61" s="9"/>
      <c r="E61" s="87" t="s">
        <v>37</v>
      </c>
      <c r="F61" s="88"/>
      <c r="G61" s="9"/>
      <c r="H61" s="87" t="s">
        <v>37</v>
      </c>
      <c r="I61" s="88"/>
      <c r="J61" s="9"/>
      <c r="K61" s="87" t="s">
        <v>37</v>
      </c>
      <c r="L61" s="88"/>
      <c r="M61" s="9"/>
      <c r="N61" s="87" t="s">
        <v>37</v>
      </c>
      <c r="O61" s="88"/>
      <c r="Z61" s="28"/>
    </row>
    <row r="62" spans="2:26" ht="20.25" customHeight="1" x14ac:dyDescent="0.15">
      <c r="B62" s="1" t="s">
        <v>0</v>
      </c>
      <c r="C62" s="10"/>
      <c r="D62" s="9"/>
      <c r="E62" s="1" t="s">
        <v>0</v>
      </c>
      <c r="F62" s="10"/>
      <c r="G62" s="9"/>
      <c r="H62" s="1" t="s">
        <v>0</v>
      </c>
      <c r="I62" s="10"/>
      <c r="J62" s="9"/>
      <c r="K62" s="1" t="s">
        <v>0</v>
      </c>
      <c r="L62" s="10"/>
      <c r="M62" s="9"/>
      <c r="N62" s="1" t="s">
        <v>0</v>
      </c>
      <c r="O62" s="10"/>
      <c r="Z62" s="28"/>
    </row>
    <row r="63" spans="2:26" ht="20.25" customHeight="1" x14ac:dyDescent="0.15">
      <c r="B63" s="1" t="s">
        <v>1</v>
      </c>
      <c r="C63" s="14"/>
      <c r="D63" s="9"/>
      <c r="E63" s="1" t="s">
        <v>1</v>
      </c>
      <c r="F63" s="14"/>
      <c r="G63" s="9"/>
      <c r="H63" s="1" t="s">
        <v>1</v>
      </c>
      <c r="I63" s="14"/>
      <c r="J63" s="9"/>
      <c r="K63" s="1" t="s">
        <v>1</v>
      </c>
      <c r="L63" s="14"/>
      <c r="M63" s="9"/>
      <c r="N63" s="1" t="s">
        <v>1</v>
      </c>
      <c r="O63" s="14"/>
      <c r="Z63" s="28"/>
    </row>
    <row r="64" spans="2:26" ht="20.25" customHeight="1" x14ac:dyDescent="0.15">
      <c r="B64" s="1" t="s">
        <v>2</v>
      </c>
      <c r="C64" s="2"/>
      <c r="D64" s="7"/>
      <c r="E64" s="1" t="s">
        <v>2</v>
      </c>
      <c r="F64" s="2"/>
      <c r="G64" s="7"/>
      <c r="H64" s="1" t="s">
        <v>2</v>
      </c>
      <c r="I64" s="2"/>
      <c r="J64" s="7"/>
      <c r="K64" s="1" t="s">
        <v>2</v>
      </c>
      <c r="L64" s="2"/>
      <c r="M64" s="7"/>
      <c r="N64" s="1" t="s">
        <v>2</v>
      </c>
      <c r="O64" s="2"/>
      <c r="Z64" s="28"/>
    </row>
    <row r="65" spans="2:26" ht="55.5" customHeight="1" x14ac:dyDescent="0.15">
      <c r="B65" s="1" t="s">
        <v>3</v>
      </c>
      <c r="C65" s="1"/>
      <c r="D65" s="9"/>
      <c r="E65" s="1" t="s">
        <v>3</v>
      </c>
      <c r="F65" s="1"/>
      <c r="G65" s="9"/>
      <c r="H65" s="1" t="s">
        <v>3</v>
      </c>
      <c r="I65" s="1"/>
      <c r="J65" s="9"/>
      <c r="K65" s="1" t="s">
        <v>3</v>
      </c>
      <c r="L65" s="1"/>
      <c r="M65" s="9"/>
      <c r="N65" s="1" t="s">
        <v>3</v>
      </c>
      <c r="O65" s="1"/>
      <c r="Z65" s="28"/>
    </row>
    <row r="66" spans="2:26" ht="20.25" customHeight="1" x14ac:dyDescent="0.15">
      <c r="B66" s="1" t="s">
        <v>4</v>
      </c>
      <c r="C66" s="23" t="s">
        <v>36</v>
      </c>
      <c r="D66" s="9"/>
      <c r="E66" s="1" t="s">
        <v>4</v>
      </c>
      <c r="F66" s="23" t="s">
        <v>36</v>
      </c>
      <c r="G66" s="9"/>
      <c r="H66" s="1" t="s">
        <v>4</v>
      </c>
      <c r="I66" s="23" t="s">
        <v>36</v>
      </c>
      <c r="J66" s="9"/>
      <c r="K66" s="1" t="s">
        <v>4</v>
      </c>
      <c r="L66" s="23" t="s">
        <v>36</v>
      </c>
      <c r="M66" s="9"/>
      <c r="N66" s="1" t="s">
        <v>4</v>
      </c>
      <c r="O66" s="23" t="s">
        <v>36</v>
      </c>
      <c r="Z66" s="28"/>
    </row>
    <row r="67" spans="2:26" ht="20.25" customHeight="1" x14ac:dyDescent="0.15">
      <c r="B67" s="4"/>
      <c r="C67" s="5">
        <v>41</v>
      </c>
      <c r="D67" s="5">
        <v>1</v>
      </c>
      <c r="E67" s="5"/>
      <c r="F67" s="5">
        <v>42</v>
      </c>
      <c r="G67" s="5">
        <v>1</v>
      </c>
      <c r="H67" s="5"/>
      <c r="I67" s="5">
        <v>43</v>
      </c>
      <c r="J67" s="5">
        <v>1</v>
      </c>
      <c r="K67" s="5"/>
      <c r="L67" s="5">
        <v>44</v>
      </c>
      <c r="M67" s="5">
        <v>1</v>
      </c>
      <c r="N67" s="5"/>
      <c r="O67" s="5">
        <v>45</v>
      </c>
      <c r="Z67" s="28"/>
    </row>
    <row r="68" spans="2:26" ht="20.25" customHeight="1" x14ac:dyDescent="0.15">
      <c r="B68" s="87" t="s">
        <v>37</v>
      </c>
      <c r="C68" s="88"/>
      <c r="D68" s="9"/>
      <c r="E68" s="87" t="s">
        <v>37</v>
      </c>
      <c r="F68" s="88"/>
      <c r="G68" s="9"/>
      <c r="H68" s="87" t="s">
        <v>37</v>
      </c>
      <c r="I68" s="88"/>
      <c r="J68" s="9"/>
      <c r="K68" s="87" t="s">
        <v>37</v>
      </c>
      <c r="L68" s="88"/>
      <c r="M68" s="9"/>
      <c r="N68" s="87" t="s">
        <v>37</v>
      </c>
      <c r="O68" s="88"/>
      <c r="Z68" s="28"/>
    </row>
    <row r="69" spans="2:26" ht="20.25" customHeight="1" x14ac:dyDescent="0.15">
      <c r="B69" s="1" t="s">
        <v>0</v>
      </c>
      <c r="C69" s="10"/>
      <c r="D69" s="9"/>
      <c r="E69" s="1" t="s">
        <v>0</v>
      </c>
      <c r="F69" s="10"/>
      <c r="G69" s="9"/>
      <c r="H69" s="1" t="s">
        <v>0</v>
      </c>
      <c r="I69" s="10"/>
      <c r="J69" s="9"/>
      <c r="K69" s="1" t="s">
        <v>0</v>
      </c>
      <c r="L69" s="10"/>
      <c r="M69" s="9"/>
      <c r="N69" s="1" t="s">
        <v>0</v>
      </c>
      <c r="O69" s="10"/>
      <c r="Z69" s="28"/>
    </row>
    <row r="70" spans="2:26" ht="20.25" customHeight="1" x14ac:dyDescent="0.15">
      <c r="B70" s="1" t="s">
        <v>1</v>
      </c>
      <c r="C70" s="14"/>
      <c r="D70" s="9"/>
      <c r="E70" s="1" t="s">
        <v>1</v>
      </c>
      <c r="F70" s="14"/>
      <c r="G70" s="9"/>
      <c r="H70" s="1" t="s">
        <v>1</v>
      </c>
      <c r="I70" s="14"/>
      <c r="J70" s="9"/>
      <c r="K70" s="1" t="s">
        <v>1</v>
      </c>
      <c r="L70" s="14"/>
      <c r="M70" s="9"/>
      <c r="N70" s="1" t="s">
        <v>1</v>
      </c>
      <c r="O70" s="14"/>
      <c r="Z70" s="28"/>
    </row>
    <row r="71" spans="2:26" ht="20.25" customHeight="1" x14ac:dyDescent="0.15">
      <c r="B71" s="1" t="s">
        <v>2</v>
      </c>
      <c r="C71" s="2"/>
      <c r="D71" s="7"/>
      <c r="E71" s="1" t="s">
        <v>2</v>
      </c>
      <c r="F71" s="2"/>
      <c r="G71" s="7"/>
      <c r="H71" s="1" t="s">
        <v>2</v>
      </c>
      <c r="I71" s="2"/>
      <c r="J71" s="7"/>
      <c r="K71" s="1" t="s">
        <v>2</v>
      </c>
      <c r="L71" s="2"/>
      <c r="M71" s="7"/>
      <c r="N71" s="1" t="s">
        <v>2</v>
      </c>
      <c r="O71" s="2"/>
      <c r="Z71" s="28"/>
    </row>
    <row r="72" spans="2:26" ht="55.5" customHeight="1" x14ac:dyDescent="0.15">
      <c r="B72" s="1" t="s">
        <v>3</v>
      </c>
      <c r="C72" s="1"/>
      <c r="D72" s="9"/>
      <c r="E72" s="1" t="s">
        <v>3</v>
      </c>
      <c r="F72" s="1"/>
      <c r="G72" s="9"/>
      <c r="H72" s="1" t="s">
        <v>3</v>
      </c>
      <c r="I72" s="1"/>
      <c r="J72" s="9"/>
      <c r="K72" s="1" t="s">
        <v>3</v>
      </c>
      <c r="L72" s="1"/>
      <c r="M72" s="9"/>
      <c r="N72" s="1" t="s">
        <v>3</v>
      </c>
      <c r="O72" s="1"/>
      <c r="Z72" s="28"/>
    </row>
    <row r="73" spans="2:26" ht="20.25" customHeight="1" x14ac:dyDescent="0.15">
      <c r="B73" s="1" t="s">
        <v>4</v>
      </c>
      <c r="C73" s="23" t="s">
        <v>36</v>
      </c>
      <c r="D73" s="9"/>
      <c r="E73" s="1" t="s">
        <v>4</v>
      </c>
      <c r="F73" s="23" t="s">
        <v>36</v>
      </c>
      <c r="G73" s="9"/>
      <c r="H73" s="1" t="s">
        <v>4</v>
      </c>
      <c r="I73" s="23" t="s">
        <v>36</v>
      </c>
      <c r="J73" s="9"/>
      <c r="K73" s="1" t="s">
        <v>4</v>
      </c>
      <c r="L73" s="23" t="s">
        <v>36</v>
      </c>
      <c r="M73" s="9"/>
      <c r="N73" s="1" t="s">
        <v>4</v>
      </c>
      <c r="O73" s="23" t="s">
        <v>36</v>
      </c>
      <c r="Z73" s="28"/>
    </row>
    <row r="74" spans="2:26" ht="20.25" customHeight="1" x14ac:dyDescent="0.15">
      <c r="B74" s="4"/>
      <c r="C74" s="5">
        <v>46</v>
      </c>
      <c r="D74" s="5">
        <v>1</v>
      </c>
      <c r="E74" s="5"/>
      <c r="F74" s="5">
        <v>47</v>
      </c>
      <c r="G74" s="5">
        <v>1</v>
      </c>
      <c r="H74" s="5"/>
      <c r="I74" s="5">
        <v>48</v>
      </c>
      <c r="J74" s="5">
        <v>1</v>
      </c>
      <c r="K74" s="5"/>
      <c r="L74" s="5">
        <v>49</v>
      </c>
      <c r="M74" s="5">
        <v>1</v>
      </c>
      <c r="N74" s="5"/>
      <c r="O74" s="5">
        <v>50</v>
      </c>
      <c r="Z74" s="28"/>
    </row>
    <row r="75" spans="2:26" ht="20.25" customHeight="1" x14ac:dyDescent="0.15">
      <c r="B75" s="87" t="s">
        <v>37</v>
      </c>
      <c r="C75" s="88"/>
      <c r="D75" s="9"/>
      <c r="E75" s="87" t="s">
        <v>37</v>
      </c>
      <c r="F75" s="88"/>
      <c r="G75" s="9"/>
      <c r="H75" s="87" t="s">
        <v>37</v>
      </c>
      <c r="I75" s="88"/>
      <c r="J75" s="9"/>
      <c r="K75" s="87" t="s">
        <v>37</v>
      </c>
      <c r="L75" s="88"/>
      <c r="M75" s="9"/>
      <c r="N75" s="87" t="s">
        <v>37</v>
      </c>
      <c r="O75" s="88"/>
      <c r="Z75" s="28"/>
    </row>
    <row r="76" spans="2:26" ht="20.25" customHeight="1" x14ac:dyDescent="0.15">
      <c r="B76" s="1" t="s">
        <v>0</v>
      </c>
      <c r="C76" s="10"/>
      <c r="D76" s="9"/>
      <c r="E76" s="1" t="s">
        <v>0</v>
      </c>
      <c r="F76" s="10"/>
      <c r="G76" s="9"/>
      <c r="H76" s="1" t="s">
        <v>0</v>
      </c>
      <c r="I76" s="10"/>
      <c r="J76" s="9"/>
      <c r="K76" s="1" t="s">
        <v>0</v>
      </c>
      <c r="L76" s="10"/>
      <c r="M76" s="9"/>
      <c r="N76" s="1" t="s">
        <v>0</v>
      </c>
      <c r="O76" s="10"/>
      <c r="Z76" s="28"/>
    </row>
    <row r="77" spans="2:26" ht="20.25" customHeight="1" x14ac:dyDescent="0.15">
      <c r="B77" s="1" t="s">
        <v>1</v>
      </c>
      <c r="C77" s="14"/>
      <c r="D77" s="9"/>
      <c r="E77" s="1" t="s">
        <v>1</v>
      </c>
      <c r="F77" s="14"/>
      <c r="G77" s="9"/>
      <c r="H77" s="1" t="s">
        <v>1</v>
      </c>
      <c r="I77" s="14"/>
      <c r="J77" s="9"/>
      <c r="K77" s="1" t="s">
        <v>1</v>
      </c>
      <c r="L77" s="14"/>
      <c r="M77" s="9"/>
      <c r="N77" s="1" t="s">
        <v>1</v>
      </c>
      <c r="O77" s="14"/>
      <c r="Z77" s="28"/>
    </row>
    <row r="78" spans="2:26" ht="20.25" customHeight="1" x14ac:dyDescent="0.15">
      <c r="B78" s="1" t="s">
        <v>2</v>
      </c>
      <c r="C78" s="2"/>
      <c r="D78" s="7"/>
      <c r="E78" s="1" t="s">
        <v>2</v>
      </c>
      <c r="F78" s="2"/>
      <c r="G78" s="7"/>
      <c r="H78" s="1" t="s">
        <v>2</v>
      </c>
      <c r="I78" s="2"/>
      <c r="J78" s="7"/>
      <c r="K78" s="1" t="s">
        <v>2</v>
      </c>
      <c r="L78" s="2"/>
      <c r="M78" s="7"/>
      <c r="N78" s="1" t="s">
        <v>2</v>
      </c>
      <c r="O78" s="2"/>
      <c r="P78" s="12">
        <v>5.0100000000000003E-4</v>
      </c>
      <c r="Z78" s="28"/>
    </row>
    <row r="79" spans="2:26" ht="55.5" customHeight="1" x14ac:dyDescent="0.15">
      <c r="B79" s="1" t="s">
        <v>3</v>
      </c>
      <c r="C79" s="1"/>
      <c r="D79" s="9"/>
      <c r="E79" s="1" t="s">
        <v>3</v>
      </c>
      <c r="F79" s="1"/>
      <c r="G79" s="9"/>
      <c r="H79" s="1" t="s">
        <v>3</v>
      </c>
      <c r="I79" s="1"/>
      <c r="J79" s="9"/>
      <c r="K79" s="1" t="s">
        <v>3</v>
      </c>
      <c r="L79" s="1"/>
      <c r="M79" s="9"/>
      <c r="N79" s="1" t="s">
        <v>3</v>
      </c>
      <c r="O79" s="1"/>
      <c r="Z79" s="28"/>
    </row>
    <row r="80" spans="2:26" ht="20.25" customHeight="1" x14ac:dyDescent="0.15">
      <c r="B80" s="1" t="s">
        <v>4</v>
      </c>
      <c r="C80" s="23" t="s">
        <v>36</v>
      </c>
      <c r="D80" s="9"/>
      <c r="E80" s="1" t="s">
        <v>4</v>
      </c>
      <c r="F80" s="23" t="s">
        <v>36</v>
      </c>
      <c r="G80" s="9"/>
      <c r="H80" s="1" t="s">
        <v>4</v>
      </c>
      <c r="I80" s="23" t="s">
        <v>36</v>
      </c>
      <c r="J80" s="9"/>
      <c r="K80" s="1" t="s">
        <v>4</v>
      </c>
      <c r="L80" s="23" t="s">
        <v>36</v>
      </c>
      <c r="M80" s="9"/>
      <c r="N80" s="1" t="s">
        <v>4</v>
      </c>
      <c r="O80" s="23" t="s">
        <v>36</v>
      </c>
      <c r="Z80" s="28"/>
    </row>
    <row r="81" spans="2:26" ht="20.25" customHeight="1" x14ac:dyDescent="0.15">
      <c r="B81" s="4"/>
      <c r="C81" s="5">
        <v>51</v>
      </c>
      <c r="D81" s="5">
        <v>1</v>
      </c>
      <c r="E81" s="5"/>
      <c r="F81" s="5">
        <v>52</v>
      </c>
      <c r="G81" s="5">
        <v>1</v>
      </c>
      <c r="H81" s="5"/>
      <c r="I81" s="5">
        <v>53</v>
      </c>
      <c r="J81" s="5">
        <v>1</v>
      </c>
      <c r="K81" s="5"/>
      <c r="L81" s="5">
        <v>54</v>
      </c>
      <c r="M81" s="5">
        <v>1</v>
      </c>
      <c r="N81" s="5"/>
      <c r="O81" s="5">
        <v>55</v>
      </c>
      <c r="Z81" s="28"/>
    </row>
    <row r="82" spans="2:26" ht="20.25" customHeight="1" x14ac:dyDescent="0.15">
      <c r="B82" s="87" t="s">
        <v>37</v>
      </c>
      <c r="C82" s="88"/>
      <c r="D82" s="9"/>
      <c r="E82" s="87" t="s">
        <v>37</v>
      </c>
      <c r="F82" s="88"/>
      <c r="G82" s="9"/>
      <c r="H82" s="87" t="s">
        <v>37</v>
      </c>
      <c r="I82" s="88"/>
      <c r="J82" s="9"/>
      <c r="K82" s="87" t="s">
        <v>37</v>
      </c>
      <c r="L82" s="88"/>
      <c r="M82" s="9"/>
      <c r="N82" s="87" t="s">
        <v>37</v>
      </c>
      <c r="O82" s="88"/>
      <c r="Z82" s="28"/>
    </row>
    <row r="83" spans="2:26" ht="20.25" customHeight="1" x14ac:dyDescent="0.15">
      <c r="B83" s="1" t="s">
        <v>0</v>
      </c>
      <c r="C83" s="10"/>
      <c r="D83" s="9"/>
      <c r="E83" s="1" t="s">
        <v>0</v>
      </c>
      <c r="F83" s="10"/>
      <c r="G83" s="9"/>
      <c r="H83" s="1" t="s">
        <v>0</v>
      </c>
      <c r="I83" s="10"/>
      <c r="J83" s="9"/>
      <c r="K83" s="1" t="s">
        <v>0</v>
      </c>
      <c r="L83" s="10"/>
      <c r="M83" s="9"/>
      <c r="N83" s="1" t="s">
        <v>0</v>
      </c>
      <c r="O83" s="10"/>
      <c r="Z83" s="28"/>
    </row>
    <row r="84" spans="2:26" ht="20.25" customHeight="1" x14ac:dyDescent="0.15">
      <c r="B84" s="1" t="s">
        <v>1</v>
      </c>
      <c r="C84" s="14"/>
      <c r="D84" s="9"/>
      <c r="E84" s="1" t="s">
        <v>1</v>
      </c>
      <c r="F84" s="14"/>
      <c r="G84" s="9"/>
      <c r="H84" s="1" t="s">
        <v>1</v>
      </c>
      <c r="I84" s="14"/>
      <c r="J84" s="9"/>
      <c r="K84" s="1" t="s">
        <v>1</v>
      </c>
      <c r="L84" s="14"/>
      <c r="M84" s="9"/>
      <c r="N84" s="1" t="s">
        <v>1</v>
      </c>
      <c r="O84" s="14"/>
      <c r="Z84" s="28"/>
    </row>
    <row r="85" spans="2:26" ht="20.25" customHeight="1" x14ac:dyDescent="0.15">
      <c r="B85" s="1" t="s">
        <v>2</v>
      </c>
      <c r="C85" s="2"/>
      <c r="D85" s="7"/>
      <c r="E85" s="1" t="s">
        <v>2</v>
      </c>
      <c r="F85" s="2"/>
      <c r="G85" s="7"/>
      <c r="H85" s="1" t="s">
        <v>2</v>
      </c>
      <c r="I85" s="2"/>
      <c r="J85" s="7"/>
      <c r="K85" s="1" t="s">
        <v>2</v>
      </c>
      <c r="L85" s="2"/>
      <c r="M85" s="7"/>
      <c r="N85" s="1" t="s">
        <v>2</v>
      </c>
      <c r="O85" s="2"/>
      <c r="Z85" s="28"/>
    </row>
    <row r="86" spans="2:26" ht="55.5" customHeight="1" x14ac:dyDescent="0.15">
      <c r="B86" s="1" t="s">
        <v>3</v>
      </c>
      <c r="C86" s="1"/>
      <c r="D86" s="9"/>
      <c r="E86" s="1" t="s">
        <v>3</v>
      </c>
      <c r="F86" s="1"/>
      <c r="G86" s="9"/>
      <c r="H86" s="1" t="s">
        <v>3</v>
      </c>
      <c r="I86" s="1"/>
      <c r="J86" s="9"/>
      <c r="K86" s="1" t="s">
        <v>3</v>
      </c>
      <c r="L86" s="1"/>
      <c r="M86" s="9"/>
      <c r="N86" s="1" t="s">
        <v>3</v>
      </c>
      <c r="O86" s="1"/>
      <c r="Z86" s="28"/>
    </row>
    <row r="87" spans="2:26" ht="20.25" customHeight="1" x14ac:dyDescent="0.15">
      <c r="B87" s="1" t="s">
        <v>4</v>
      </c>
      <c r="C87" s="23" t="s">
        <v>36</v>
      </c>
      <c r="D87" s="9"/>
      <c r="E87" s="1" t="s">
        <v>4</v>
      </c>
      <c r="F87" s="23" t="s">
        <v>36</v>
      </c>
      <c r="G87" s="9"/>
      <c r="H87" s="1" t="s">
        <v>4</v>
      </c>
      <c r="I87" s="23" t="s">
        <v>36</v>
      </c>
      <c r="J87" s="9"/>
      <c r="K87" s="1" t="s">
        <v>4</v>
      </c>
      <c r="L87" s="23" t="s">
        <v>36</v>
      </c>
      <c r="M87" s="9"/>
      <c r="N87" s="1" t="s">
        <v>4</v>
      </c>
      <c r="O87" s="23" t="s">
        <v>36</v>
      </c>
      <c r="Z87" s="28"/>
    </row>
    <row r="88" spans="2:26" ht="20.25" customHeight="1" x14ac:dyDescent="0.15">
      <c r="B88" s="4"/>
      <c r="C88" s="5">
        <v>56</v>
      </c>
      <c r="D88" s="5">
        <v>1</v>
      </c>
      <c r="E88" s="5"/>
      <c r="F88" s="5">
        <v>57</v>
      </c>
      <c r="G88" s="5">
        <v>1</v>
      </c>
      <c r="H88" s="5"/>
      <c r="I88" s="5">
        <v>58</v>
      </c>
      <c r="J88" s="5">
        <v>1</v>
      </c>
      <c r="K88" s="5"/>
      <c r="L88" s="5">
        <v>59</v>
      </c>
      <c r="M88" s="5">
        <v>1</v>
      </c>
      <c r="N88" s="5"/>
      <c r="O88" s="5">
        <v>60</v>
      </c>
      <c r="Z88" s="28"/>
    </row>
    <row r="89" spans="2:26" ht="20.25" customHeight="1" x14ac:dyDescent="0.15">
      <c r="B89" s="87" t="s">
        <v>37</v>
      </c>
      <c r="C89" s="88"/>
      <c r="D89" s="9"/>
      <c r="E89" s="87" t="s">
        <v>37</v>
      </c>
      <c r="F89" s="88"/>
      <c r="G89" s="9"/>
      <c r="H89" s="87" t="s">
        <v>37</v>
      </c>
      <c r="I89" s="88"/>
      <c r="J89" s="9"/>
      <c r="K89" s="87" t="s">
        <v>37</v>
      </c>
      <c r="L89" s="88"/>
      <c r="M89" s="9"/>
      <c r="N89" s="87" t="s">
        <v>37</v>
      </c>
      <c r="O89" s="88"/>
      <c r="Z89" s="28"/>
    </row>
    <row r="90" spans="2:26" ht="20.25" customHeight="1" x14ac:dyDescent="0.15">
      <c r="B90" s="1" t="s">
        <v>0</v>
      </c>
      <c r="C90" s="10"/>
      <c r="D90" s="9"/>
      <c r="E90" s="1" t="s">
        <v>0</v>
      </c>
      <c r="F90" s="10"/>
      <c r="G90" s="9"/>
      <c r="H90" s="1" t="s">
        <v>0</v>
      </c>
      <c r="I90" s="10"/>
      <c r="J90" s="9"/>
      <c r="K90" s="1" t="s">
        <v>0</v>
      </c>
      <c r="L90" s="10"/>
      <c r="M90" s="9"/>
      <c r="N90" s="1" t="s">
        <v>0</v>
      </c>
      <c r="O90" s="10"/>
      <c r="Z90" s="28"/>
    </row>
    <row r="91" spans="2:26" ht="20.25" customHeight="1" x14ac:dyDescent="0.15">
      <c r="B91" s="1" t="s">
        <v>1</v>
      </c>
      <c r="C91" s="14"/>
      <c r="D91" s="9"/>
      <c r="E91" s="1" t="s">
        <v>1</v>
      </c>
      <c r="F91" s="14"/>
      <c r="G91" s="9"/>
      <c r="H91" s="1" t="s">
        <v>1</v>
      </c>
      <c r="I91" s="14"/>
      <c r="J91" s="9"/>
      <c r="K91" s="1" t="s">
        <v>1</v>
      </c>
      <c r="L91" s="14"/>
      <c r="M91" s="9"/>
      <c r="N91" s="1" t="s">
        <v>1</v>
      </c>
      <c r="O91" s="14"/>
      <c r="Z91" s="28"/>
    </row>
    <row r="92" spans="2:26" ht="20.25" customHeight="1" x14ac:dyDescent="0.15">
      <c r="B92" s="1" t="s">
        <v>2</v>
      </c>
      <c r="C92" s="2"/>
      <c r="D92" s="7"/>
      <c r="E92" s="1" t="s">
        <v>2</v>
      </c>
      <c r="F92" s="2"/>
      <c r="G92" s="7"/>
      <c r="H92" s="1" t="s">
        <v>2</v>
      </c>
      <c r="I92" s="2"/>
      <c r="J92" s="7"/>
      <c r="K92" s="1" t="s">
        <v>2</v>
      </c>
      <c r="L92" s="2"/>
      <c r="M92" s="7"/>
      <c r="N92" s="1" t="s">
        <v>2</v>
      </c>
      <c r="O92" s="2"/>
      <c r="Z92" s="28"/>
    </row>
    <row r="93" spans="2:26" ht="55.5" customHeight="1" x14ac:dyDescent="0.15">
      <c r="B93" s="1" t="s">
        <v>3</v>
      </c>
      <c r="C93" s="1"/>
      <c r="D93" s="9"/>
      <c r="E93" s="1" t="s">
        <v>3</v>
      </c>
      <c r="F93" s="1"/>
      <c r="G93" s="9"/>
      <c r="H93" s="1" t="s">
        <v>3</v>
      </c>
      <c r="I93" s="1"/>
      <c r="J93" s="9"/>
      <c r="K93" s="1" t="s">
        <v>3</v>
      </c>
      <c r="L93" s="1"/>
      <c r="M93" s="9"/>
      <c r="N93" s="1" t="s">
        <v>3</v>
      </c>
      <c r="O93" s="1"/>
      <c r="Z93" s="28"/>
    </row>
    <row r="94" spans="2:26" ht="20.25" customHeight="1" x14ac:dyDescent="0.15">
      <c r="B94" s="1" t="s">
        <v>4</v>
      </c>
      <c r="C94" s="23" t="s">
        <v>36</v>
      </c>
      <c r="D94" s="9"/>
      <c r="E94" s="1" t="s">
        <v>4</v>
      </c>
      <c r="F94" s="23" t="s">
        <v>36</v>
      </c>
      <c r="G94" s="9"/>
      <c r="H94" s="1" t="s">
        <v>4</v>
      </c>
      <c r="I94" s="23" t="s">
        <v>36</v>
      </c>
      <c r="J94" s="9"/>
      <c r="K94" s="1" t="s">
        <v>4</v>
      </c>
      <c r="L94" s="23" t="s">
        <v>36</v>
      </c>
      <c r="M94" s="9"/>
      <c r="N94" s="1" t="s">
        <v>4</v>
      </c>
      <c r="O94" s="23" t="s">
        <v>36</v>
      </c>
      <c r="Z94" s="28"/>
    </row>
    <row r="95" spans="2:26" ht="20.25" customHeight="1" x14ac:dyDescent="0.15">
      <c r="B95" s="4"/>
      <c r="C95" s="5">
        <v>61</v>
      </c>
      <c r="D95" s="5">
        <v>1</v>
      </c>
      <c r="E95" s="5"/>
      <c r="F95" s="5">
        <v>62</v>
      </c>
      <c r="G95" s="5">
        <v>1</v>
      </c>
      <c r="H95" s="5"/>
      <c r="I95" s="5">
        <v>63</v>
      </c>
      <c r="J95" s="5">
        <v>1</v>
      </c>
      <c r="K95" s="5"/>
      <c r="L95" s="5">
        <v>64</v>
      </c>
      <c r="M95" s="5">
        <v>1</v>
      </c>
      <c r="N95" s="5"/>
      <c r="O95" s="5">
        <v>65</v>
      </c>
      <c r="Z95" s="28"/>
    </row>
    <row r="96" spans="2:26" x14ac:dyDescent="0.15">
      <c r="Z96" s="28"/>
    </row>
    <row r="97" spans="26:26" x14ac:dyDescent="0.15">
      <c r="Z97" s="28"/>
    </row>
    <row r="98" spans="26:26" x14ac:dyDescent="0.15">
      <c r="Z98" s="28"/>
    </row>
    <row r="99" spans="26:26" x14ac:dyDescent="0.15">
      <c r="Z99" s="28"/>
    </row>
    <row r="100" spans="26:26" x14ac:dyDescent="0.15">
      <c r="Z100" s="28"/>
    </row>
    <row r="101" spans="26:26" x14ac:dyDescent="0.15">
      <c r="Z101" s="28"/>
    </row>
    <row r="102" spans="26:26" x14ac:dyDescent="0.15">
      <c r="Z102" s="28"/>
    </row>
    <row r="103" spans="26:26" x14ac:dyDescent="0.15">
      <c r="Z103" s="28"/>
    </row>
    <row r="104" spans="26:26" x14ac:dyDescent="0.15">
      <c r="Z104" s="28"/>
    </row>
    <row r="105" spans="26:26" x14ac:dyDescent="0.15">
      <c r="Z105" s="28"/>
    </row>
    <row r="106" spans="26:26" x14ac:dyDescent="0.15">
      <c r="Z106" s="28"/>
    </row>
    <row r="107" spans="26:26" x14ac:dyDescent="0.15">
      <c r="Z107" s="28"/>
    </row>
    <row r="108" spans="26:26" x14ac:dyDescent="0.15">
      <c r="Z108" s="28"/>
    </row>
    <row r="109" spans="26:26" x14ac:dyDescent="0.15">
      <c r="Z109" s="28"/>
    </row>
    <row r="110" spans="26:26" x14ac:dyDescent="0.15">
      <c r="Z110" s="28"/>
    </row>
    <row r="111" spans="26:26" x14ac:dyDescent="0.15">
      <c r="Z111" s="28"/>
    </row>
    <row r="112" spans="26:26" x14ac:dyDescent="0.15">
      <c r="Z112" s="28"/>
    </row>
    <row r="113" spans="26:26" x14ac:dyDescent="0.15">
      <c r="Z113" s="28"/>
    </row>
    <row r="114" spans="26:26" x14ac:dyDescent="0.15">
      <c r="Z114" s="28"/>
    </row>
    <row r="115" spans="26:26" x14ac:dyDescent="0.15">
      <c r="Z115" s="28"/>
    </row>
    <row r="116" spans="26:26" x14ac:dyDescent="0.15">
      <c r="Z116" s="28"/>
    </row>
    <row r="117" spans="26:26" x14ac:dyDescent="0.15">
      <c r="Z117" s="28"/>
    </row>
    <row r="118" spans="26:26" x14ac:dyDescent="0.15">
      <c r="Z118" s="28"/>
    </row>
    <row r="119" spans="26:26" x14ac:dyDescent="0.15">
      <c r="Z119" s="28"/>
    </row>
    <row r="120" spans="26:26" x14ac:dyDescent="0.15">
      <c r="Z120" s="28"/>
    </row>
    <row r="121" spans="26:26" x14ac:dyDescent="0.15">
      <c r="Z121" s="28"/>
    </row>
    <row r="122" spans="26:26" x14ac:dyDescent="0.15">
      <c r="Z122" s="28"/>
    </row>
    <row r="123" spans="26:26" x14ac:dyDescent="0.15">
      <c r="Z123" s="28"/>
    </row>
    <row r="124" spans="26:26" x14ac:dyDescent="0.15">
      <c r="Z124" s="28"/>
    </row>
    <row r="125" spans="26:26" x14ac:dyDescent="0.15">
      <c r="Z125" s="28"/>
    </row>
    <row r="126" spans="26:26" x14ac:dyDescent="0.15">
      <c r="Z126" s="28"/>
    </row>
    <row r="127" spans="26:26" x14ac:dyDescent="0.15">
      <c r="Z127" s="28"/>
    </row>
    <row r="128" spans="26:26" x14ac:dyDescent="0.15">
      <c r="Z128" s="28"/>
    </row>
    <row r="129" spans="26:26" x14ac:dyDescent="0.15">
      <c r="Z129" s="28"/>
    </row>
    <row r="130" spans="26:26" x14ac:dyDescent="0.15">
      <c r="Z130" s="28"/>
    </row>
    <row r="131" spans="26:26" x14ac:dyDescent="0.15">
      <c r="Z131" s="28"/>
    </row>
    <row r="132" spans="26:26" x14ac:dyDescent="0.15">
      <c r="Z132" s="28"/>
    </row>
    <row r="133" spans="26:26" x14ac:dyDescent="0.15">
      <c r="Z133" s="28"/>
    </row>
    <row r="134" spans="26:26" x14ac:dyDescent="0.15">
      <c r="Z134" s="28"/>
    </row>
    <row r="135" spans="26:26" x14ac:dyDescent="0.15">
      <c r="Z135" s="28"/>
    </row>
    <row r="136" spans="26:26" x14ac:dyDescent="0.15">
      <c r="Z136" s="28"/>
    </row>
    <row r="137" spans="26:26" x14ac:dyDescent="0.15">
      <c r="Z137" s="28"/>
    </row>
    <row r="138" spans="26:26" x14ac:dyDescent="0.15">
      <c r="Z138" s="28"/>
    </row>
    <row r="139" spans="26:26" x14ac:dyDescent="0.15">
      <c r="Z139" s="28"/>
    </row>
  </sheetData>
  <mergeCells count="71">
    <mergeCell ref="S5:T5"/>
    <mergeCell ref="S6:T6"/>
    <mergeCell ref="K12:L12"/>
    <mergeCell ref="N12:O12"/>
    <mergeCell ref="S11:T11"/>
    <mergeCell ref="S10:T10"/>
    <mergeCell ref="S7:T7"/>
    <mergeCell ref="S8:T8"/>
    <mergeCell ref="B26:C26"/>
    <mergeCell ref="E26:F26"/>
    <mergeCell ref="H26:I26"/>
    <mergeCell ref="K5:L5"/>
    <mergeCell ref="N5:O5"/>
    <mergeCell ref="B12:C12"/>
    <mergeCell ref="E12:F12"/>
    <mergeCell ref="H12:I12"/>
    <mergeCell ref="B5:C5"/>
    <mergeCell ref="E5:F5"/>
    <mergeCell ref="H5:I5"/>
    <mergeCell ref="B19:C19"/>
    <mergeCell ref="E19:F19"/>
    <mergeCell ref="H19:I19"/>
    <mergeCell ref="K19:L19"/>
    <mergeCell ref="N19:O19"/>
    <mergeCell ref="K68:L68"/>
    <mergeCell ref="N68:O68"/>
    <mergeCell ref="K26:L26"/>
    <mergeCell ref="E40:F40"/>
    <mergeCell ref="H40:I40"/>
    <mergeCell ref="K40:L40"/>
    <mergeCell ref="N40:O40"/>
    <mergeCell ref="N26:O26"/>
    <mergeCell ref="N33:O33"/>
    <mergeCell ref="K33:L33"/>
    <mergeCell ref="H47:I47"/>
    <mergeCell ref="K54:L54"/>
    <mergeCell ref="N54:O54"/>
    <mergeCell ref="B33:C33"/>
    <mergeCell ref="E33:F33"/>
    <mergeCell ref="H33:I33"/>
    <mergeCell ref="B40:C40"/>
    <mergeCell ref="N47:O47"/>
    <mergeCell ref="K47:L47"/>
    <mergeCell ref="B47:C47"/>
    <mergeCell ref="E47:F47"/>
    <mergeCell ref="B82:C82"/>
    <mergeCell ref="E82:F82"/>
    <mergeCell ref="H82:I82"/>
    <mergeCell ref="K82:L82"/>
    <mergeCell ref="N82:O82"/>
    <mergeCell ref="B61:C61"/>
    <mergeCell ref="E61:F61"/>
    <mergeCell ref="B54:C54"/>
    <mergeCell ref="E54:F54"/>
    <mergeCell ref="H54:I54"/>
    <mergeCell ref="N75:O75"/>
    <mergeCell ref="N61:O61"/>
    <mergeCell ref="B89:C89"/>
    <mergeCell ref="E89:F89"/>
    <mergeCell ref="H89:I89"/>
    <mergeCell ref="K89:L89"/>
    <mergeCell ref="N89:O89"/>
    <mergeCell ref="B75:C75"/>
    <mergeCell ref="E75:F75"/>
    <mergeCell ref="H75:I75"/>
    <mergeCell ref="K75:L75"/>
    <mergeCell ref="K61:L61"/>
    <mergeCell ref="H61:I61"/>
    <mergeCell ref="B68:C68"/>
    <mergeCell ref="E68:F68"/>
    <mergeCell ref="H68:I68"/>
  </mergeCells>
  <phoneticPr fontId="3"/>
  <conditionalFormatting sqref="C8">
    <cfRule type="cellIs" dxfId="69" priority="157" stopIfTrue="1" operator="greaterThan">
      <formula>0.05%</formula>
    </cfRule>
    <cfRule type="cellIs" dxfId="68" priority="158" stopIfTrue="1" operator="lessThanOrEqual">
      <formula>0.05%</formula>
    </cfRule>
  </conditionalFormatting>
  <conditionalFormatting sqref="C36 O29 L29 I29 F29 C29 O22 L22 I22 F22 C22 O15 L15 I15 F15 C15 O8 L8 I8 F8">
    <cfRule type="cellIs" dxfId="67" priority="3" stopIfTrue="1" operator="greaterThan">
      <formula>0.05%</formula>
    </cfRule>
    <cfRule type="cellIs" dxfId="66" priority="4" stopIfTrue="1" operator="lessThanOrEqual">
      <formula>0.05%</formula>
    </cfRule>
  </conditionalFormatting>
  <conditionalFormatting sqref="O92 L92 I92 F92 C92 O85 L85 I85 F85 C85 O78 L78 I78 F78 C78 O71 L71 I71 F71 C71 O64 L64 I64 F64 C64 O57 L57 I57 F57 C57 O50 L50 I50 F50 C50 C43 F43 I43 L43 O43 O36 L36 I36 F36">
    <cfRule type="cellIs" dxfId="65" priority="1" stopIfTrue="1" operator="greaterThan">
      <formula>0.05%</formula>
    </cfRule>
    <cfRule type="cellIs" dxfId="64" priority="2" stopIfTrue="1" operator="lessThanOrEqual">
      <formula>0.05%</formula>
    </cfRule>
  </conditionalFormatting>
  <printOptions horizontalCentered="1" verticalCentered="1"/>
  <pageMargins left="0" right="0" top="0" bottom="0" header="0" footer="0"/>
  <pageSetup paperSize="9" scale="68" fitToHeight="2" orientation="portrait" horizontalDpi="300" verticalDpi="300" r:id="rId1"/>
  <headerFooter alignWithMargins="0">
    <oddHeader>&amp;R&amp;"Calibri"&amp;14&amp;KFF0000 L2: Internal use only&amp;1#_x000D_</oddHeader>
  </headerFooter>
  <rowBreaks count="1" manualBreakCount="1">
    <brk id="53" max="15" man="1"/>
  </rowBreaks>
  <drawing r:id="rId2"/>
  <legacyDrawing r:id="rId3"/>
  <controls>
    <mc:AlternateContent xmlns:mc="http://schemas.openxmlformats.org/markup-compatibility/2006">
      <mc:Choice Requires="x14">
        <control shapeId="38913" r:id="rId4" name="CommandButton1">
          <controlPr defaultSize="0" disabled="1" autoLine="0" r:id="rId5">
            <anchor>
              <from>
                <xdr:col>13</xdr:col>
                <xdr:colOff>114300</xdr:colOff>
                <xdr:row>1</xdr:row>
                <xdr:rowOff>9525</xdr:rowOff>
              </from>
              <to>
                <xdr:col>16</xdr:col>
                <xdr:colOff>19050</xdr:colOff>
                <xdr:row>2</xdr:row>
                <xdr:rowOff>114300</xdr:rowOff>
              </to>
            </anchor>
          </controlPr>
        </control>
      </mc:Choice>
      <mc:Fallback>
        <control shapeId="38913" r:id="rId4" name="CommandButton1"/>
      </mc:Fallback>
    </mc:AlternateContent>
    <mc:AlternateContent xmlns:mc="http://schemas.openxmlformats.org/markup-compatibility/2006">
      <mc:Choice Requires="x14">
        <control shapeId="38915" r:id="rId6" name="CommandButton2">
          <controlPr defaultSize="0" disabled="1" autoLine="0" r:id="rId7">
            <anchor>
              <from>
                <xdr:col>5</xdr:col>
                <xdr:colOff>647700</xdr:colOff>
                <xdr:row>1</xdr:row>
                <xdr:rowOff>28575</xdr:rowOff>
              </from>
              <to>
                <xdr:col>7</xdr:col>
                <xdr:colOff>209550</xdr:colOff>
                <xdr:row>2</xdr:row>
                <xdr:rowOff>133350</xdr:rowOff>
              </to>
            </anchor>
          </controlPr>
        </control>
      </mc:Choice>
      <mc:Fallback>
        <control shapeId="38915" r:id="rId6" name="CommandButton2"/>
      </mc:Fallback>
    </mc:AlternateContent>
    <mc:AlternateContent xmlns:mc="http://schemas.openxmlformats.org/markup-compatibility/2006">
      <mc:Choice Requires="x14">
        <control shapeId="38916" r:id="rId8" name="CommandButton3">
          <controlPr defaultSize="0" disabled="1" autoLine="0" r:id="rId9">
            <anchor>
              <from>
                <xdr:col>7</xdr:col>
                <xdr:colOff>219075</xdr:colOff>
                <xdr:row>1</xdr:row>
                <xdr:rowOff>28575</xdr:rowOff>
              </from>
              <to>
                <xdr:col>8</xdr:col>
                <xdr:colOff>342900</xdr:colOff>
                <xdr:row>2</xdr:row>
                <xdr:rowOff>133350</xdr:rowOff>
              </to>
            </anchor>
          </controlPr>
        </control>
      </mc:Choice>
      <mc:Fallback>
        <control shapeId="38916" r:id="rId8" name="CommandButton3"/>
      </mc:Fallback>
    </mc:AlternateContent>
    <mc:AlternateContent xmlns:mc="http://schemas.openxmlformats.org/markup-compatibility/2006">
      <mc:Choice Requires="x14">
        <control shapeId="38924" r:id="rId10" name="ComboBox1">
          <controlPr defaultSize="0" autoLine="0" linkedCell="V8" listFillRange="V9:V14" r:id="rId11">
            <anchor>
              <from>
                <xdr:col>1</xdr:col>
                <xdr:colOff>638175</xdr:colOff>
                <xdr:row>1</xdr:row>
                <xdr:rowOff>19050</xdr:rowOff>
              </from>
              <to>
                <xdr:col>2</xdr:col>
                <xdr:colOff>895350</xdr:colOff>
                <xdr:row>2</xdr:row>
                <xdr:rowOff>19050</xdr:rowOff>
              </to>
            </anchor>
          </controlPr>
        </control>
      </mc:Choice>
      <mc:Fallback>
        <control shapeId="38924" r:id="rId10" name="ComboBox1"/>
      </mc:Fallback>
    </mc:AlternateContent>
    <mc:AlternateContent xmlns:mc="http://schemas.openxmlformats.org/markup-compatibility/2006">
      <mc:Choice Requires="x14">
        <control shapeId="38925" r:id="rId12" name="ComboBox2">
          <controlPr defaultSize="0" autoLine="0" linkedCell="X8" listFillRange="X9:X12" r:id="rId11">
            <anchor>
              <from>
                <xdr:col>4</xdr:col>
                <xdr:colOff>371475</xdr:colOff>
                <xdr:row>1</xdr:row>
                <xdr:rowOff>19050</xdr:rowOff>
              </from>
              <to>
                <xdr:col>5</xdr:col>
                <xdr:colOff>628650</xdr:colOff>
                <xdr:row>2</xdr:row>
                <xdr:rowOff>19050</xdr:rowOff>
              </to>
            </anchor>
          </controlPr>
        </control>
      </mc:Choice>
      <mc:Fallback>
        <control shapeId="38925" r:id="rId12" name="ComboBox2"/>
      </mc:Fallback>
    </mc:AlternateContent>
    <mc:AlternateContent xmlns:mc="http://schemas.openxmlformats.org/markup-compatibility/2006">
      <mc:Choice Requires="x14">
        <control shapeId="38926" r:id="rId13" name="TextBox2">
          <controlPr defaultSize="0" autoLine="0" r:id="rId14">
            <anchor>
              <from>
                <xdr:col>0</xdr:col>
                <xdr:colOff>0</xdr:colOff>
                <xdr:row>0</xdr:row>
                <xdr:rowOff>0</xdr:rowOff>
              </from>
              <to>
                <xdr:col>2</xdr:col>
                <xdr:colOff>857250</xdr:colOff>
                <xdr:row>1</xdr:row>
                <xdr:rowOff>0</xdr:rowOff>
              </to>
            </anchor>
          </controlPr>
        </control>
      </mc:Choice>
      <mc:Fallback>
        <control shapeId="38926" r:id="rId13" name="TextBox2"/>
      </mc:Fallback>
    </mc:AlternateContent>
    <mc:AlternateContent xmlns:mc="http://schemas.openxmlformats.org/markup-compatibility/2006">
      <mc:Choice Requires="x14">
        <control shapeId="38927" r:id="rId15" name="TextBox3">
          <controlPr defaultSize="0" disabled="1" autoLine="0" r:id="rId16">
            <anchor>
              <from>
                <xdr:col>0</xdr:col>
                <xdr:colOff>9525</xdr:colOff>
                <xdr:row>1</xdr:row>
                <xdr:rowOff>9525</xdr:rowOff>
              </from>
              <to>
                <xdr:col>1</xdr:col>
                <xdr:colOff>619125</xdr:colOff>
                <xdr:row>2</xdr:row>
                <xdr:rowOff>114300</xdr:rowOff>
              </to>
            </anchor>
          </controlPr>
        </control>
      </mc:Choice>
      <mc:Fallback>
        <control shapeId="38927" r:id="rId15" name="TextBox3"/>
      </mc:Fallback>
    </mc:AlternateContent>
    <mc:AlternateContent xmlns:mc="http://schemas.openxmlformats.org/markup-compatibility/2006">
      <mc:Choice Requires="x14">
        <control shapeId="38929" r:id="rId17" name="CommandButton4">
          <controlPr defaultSize="0" disabled="1" autoLine="0" r:id="rId18">
            <anchor>
              <from>
                <xdr:col>13</xdr:col>
                <xdr:colOff>114300</xdr:colOff>
                <xdr:row>0</xdr:row>
                <xdr:rowOff>0</xdr:rowOff>
              </from>
              <to>
                <xdr:col>14</xdr:col>
                <xdr:colOff>638175</xdr:colOff>
                <xdr:row>1</xdr:row>
                <xdr:rowOff>0</xdr:rowOff>
              </to>
            </anchor>
          </controlPr>
        </control>
      </mc:Choice>
      <mc:Fallback>
        <control shapeId="38929" r:id="rId17" name="CommandButton4"/>
      </mc:Fallback>
    </mc:AlternateContent>
    <mc:AlternateContent xmlns:mc="http://schemas.openxmlformats.org/markup-compatibility/2006">
      <mc:Choice Requires="x14">
        <control shapeId="38930" r:id="rId19" name="CommandButton5">
          <controlPr defaultSize="0" disabled="1" autoLine="0" r:id="rId20">
            <anchor>
              <from>
                <xdr:col>11</xdr:col>
                <xdr:colOff>95250</xdr:colOff>
                <xdr:row>0</xdr:row>
                <xdr:rowOff>0</xdr:rowOff>
              </from>
              <to>
                <xdr:col>13</xdr:col>
                <xdr:colOff>95250</xdr:colOff>
                <xdr:row>1</xdr:row>
                <xdr:rowOff>0</xdr:rowOff>
              </to>
            </anchor>
          </controlPr>
        </control>
      </mc:Choice>
      <mc:Fallback>
        <control shapeId="38930" r:id="rId19" name="CommandButton5"/>
      </mc:Fallback>
    </mc:AlternateContent>
    <mc:AlternateContent xmlns:mc="http://schemas.openxmlformats.org/markup-compatibility/2006">
      <mc:Choice Requires="x14">
        <control shapeId="38931" r:id="rId21" name="CommandButton6">
          <controlPr defaultSize="0" disabled="1" autoLine="0" r:id="rId22">
            <anchor>
              <from>
                <xdr:col>11</xdr:col>
                <xdr:colOff>95250</xdr:colOff>
                <xdr:row>1</xdr:row>
                <xdr:rowOff>19050</xdr:rowOff>
              </from>
              <to>
                <xdr:col>13</xdr:col>
                <xdr:colOff>95250</xdr:colOff>
                <xdr:row>2</xdr:row>
                <xdr:rowOff>123825</xdr:rowOff>
              </to>
            </anchor>
          </controlPr>
        </control>
      </mc:Choice>
      <mc:Fallback>
        <control shapeId="38931" r:id="rId21" name="CommandButton6"/>
      </mc:Fallback>
    </mc:AlternateContent>
    <mc:AlternateContent xmlns:mc="http://schemas.openxmlformats.org/markup-compatibility/2006">
      <mc:Choice Requires="x14">
        <control shapeId="38932" r:id="rId23" name="TextBox1">
          <controlPr defaultSize="0" autoLine="0" r:id="rId24">
            <anchor>
              <from>
                <xdr:col>5</xdr:col>
                <xdr:colOff>609600</xdr:colOff>
                <xdr:row>0</xdr:row>
                <xdr:rowOff>0</xdr:rowOff>
              </from>
              <to>
                <xdr:col>8</xdr:col>
                <xdr:colOff>323850</xdr:colOff>
                <xdr:row>1</xdr:row>
                <xdr:rowOff>0</xdr:rowOff>
              </to>
            </anchor>
          </controlPr>
        </control>
      </mc:Choice>
      <mc:Fallback>
        <control shapeId="38932" r:id="rId23" name="TextBox1"/>
      </mc:Fallback>
    </mc:AlternateContent>
    <mc:AlternateContent xmlns:mc="http://schemas.openxmlformats.org/markup-compatibility/2006">
      <mc:Choice Requires="x14">
        <control shapeId="38933" r:id="rId25" name="TextBox4">
          <controlPr defaultSize="0" disabled="1" autoLine="0" r:id="rId16">
            <anchor>
              <from>
                <xdr:col>2</xdr:col>
                <xdr:colOff>885825</xdr:colOff>
                <xdr:row>1</xdr:row>
                <xdr:rowOff>9525</xdr:rowOff>
              </from>
              <to>
                <xdr:col>4</xdr:col>
                <xdr:colOff>352425</xdr:colOff>
                <xdr:row>2</xdr:row>
                <xdr:rowOff>114300</xdr:rowOff>
              </to>
            </anchor>
          </controlPr>
        </control>
      </mc:Choice>
      <mc:Fallback>
        <control shapeId="38933" r:id="rId25" name="TextBox4"/>
      </mc:Fallback>
    </mc:AlternateContent>
    <mc:AlternateContent xmlns:mc="http://schemas.openxmlformats.org/markup-compatibility/2006">
      <mc:Choice Requires="x14">
        <control shapeId="38934" r:id="rId26" name="TextBox5">
          <controlPr defaultSize="0" autoLine="0" r:id="rId14">
            <anchor>
              <from>
                <xdr:col>2</xdr:col>
                <xdr:colOff>876300</xdr:colOff>
                <xdr:row>0</xdr:row>
                <xdr:rowOff>0</xdr:rowOff>
              </from>
              <to>
                <xdr:col>5</xdr:col>
                <xdr:colOff>590550</xdr:colOff>
                <xdr:row>1</xdr:row>
                <xdr:rowOff>0</xdr:rowOff>
              </to>
            </anchor>
          </controlPr>
        </control>
      </mc:Choice>
      <mc:Fallback>
        <control shapeId="38934" r:id="rId26" name="TextBox5"/>
      </mc:Fallback>
    </mc:AlternateContent>
    <mc:AlternateContent xmlns:mc="http://schemas.openxmlformats.org/markup-compatibility/2006">
      <mc:Choice Requires="x14">
        <control shapeId="38935" r:id="rId27" name="TextBox6">
          <controlPr defaultSize="0" disabled="1" autoLine="0" r:id="rId28">
            <anchor>
              <from>
                <xdr:col>8</xdr:col>
                <xdr:colOff>342900</xdr:colOff>
                <xdr:row>0</xdr:row>
                <xdr:rowOff>0</xdr:rowOff>
              </from>
              <to>
                <xdr:col>11</xdr:col>
                <xdr:colOff>57150</xdr:colOff>
                <xdr:row>1</xdr:row>
                <xdr:rowOff>0</xdr:rowOff>
              </to>
            </anchor>
          </controlPr>
        </control>
      </mc:Choice>
      <mc:Fallback>
        <control shapeId="38935" r:id="rId27" name="TextBox6"/>
      </mc:Fallback>
    </mc:AlternateContent>
    <mc:AlternateContent xmlns:mc="http://schemas.openxmlformats.org/markup-compatibility/2006">
      <mc:Choice Requires="x14">
        <control shapeId="38936" r:id="rId29" name="SpinButton1">
          <controlPr defaultSize="0" disabled="1" autoLine="0" r:id="rId30">
            <anchor>
              <from>
                <xdr:col>8</xdr:col>
                <xdr:colOff>361950</xdr:colOff>
                <xdr:row>1</xdr:row>
                <xdr:rowOff>19050</xdr:rowOff>
              </from>
              <to>
                <xdr:col>11</xdr:col>
                <xdr:colOff>76200</xdr:colOff>
                <xdr:row>2</xdr:row>
                <xdr:rowOff>123825</xdr:rowOff>
              </to>
            </anchor>
          </controlPr>
        </control>
      </mc:Choice>
      <mc:Fallback>
        <control shapeId="38936" r:id="rId29" name="SpinButton1"/>
      </mc:Fallback>
    </mc:AlternateContent>
    <mc:AlternateContent xmlns:mc="http://schemas.openxmlformats.org/markup-compatibility/2006">
      <mc:Choice Requires="x14">
        <control shapeId="38937" r:id="rId31" name="CommandButton7">
          <controlPr defaultSize="0" disabled="1" autoLine="0" r:id="rId32">
            <anchor>
              <from>
                <xdr:col>13</xdr:col>
                <xdr:colOff>114300</xdr:colOff>
                <xdr:row>2</xdr:row>
                <xdr:rowOff>123825</xdr:rowOff>
              </from>
              <to>
                <xdr:col>16</xdr:col>
                <xdr:colOff>19050</xdr:colOff>
                <xdr:row>2</xdr:row>
                <xdr:rowOff>542925</xdr:rowOff>
              </to>
            </anchor>
          </controlPr>
        </control>
      </mc:Choice>
      <mc:Fallback>
        <control shapeId="38937" r:id="rId31" name="CommandButton7"/>
      </mc:Fallback>
    </mc:AlternateContent>
    <mc:AlternateContent xmlns:mc="http://schemas.openxmlformats.org/markup-compatibility/2006">
      <mc:Choice Requires="x14">
        <control shapeId="38938" r:id="rId33" name="ComboBox3">
          <controlPr defaultSize="0" autoLine="0" linkedCell="AA8" listFillRange="AA9:AA19" r:id="rId34">
            <anchor>
              <from>
                <xdr:col>0</xdr:col>
                <xdr:colOff>9525</xdr:colOff>
                <xdr:row>2</xdr:row>
                <xdr:rowOff>133350</xdr:rowOff>
              </from>
              <to>
                <xdr:col>2</xdr:col>
                <xdr:colOff>885825</xdr:colOff>
                <xdr:row>2</xdr:row>
                <xdr:rowOff>552450</xdr:rowOff>
              </to>
            </anchor>
          </controlPr>
        </control>
      </mc:Choice>
      <mc:Fallback>
        <control shapeId="38938" r:id="rId33" name="ComboBox3"/>
      </mc:Fallback>
    </mc:AlternateContent>
    <mc:AlternateContent xmlns:mc="http://schemas.openxmlformats.org/markup-compatibility/2006">
      <mc:Choice Requires="x14">
        <control shapeId="38939" r:id="rId35" name="TextBox7">
          <controlPr defaultSize="0" autoLine="0" r:id="rId36">
            <anchor>
              <from>
                <xdr:col>2</xdr:col>
                <xdr:colOff>885825</xdr:colOff>
                <xdr:row>2</xdr:row>
                <xdr:rowOff>123825</xdr:rowOff>
              </from>
              <to>
                <xdr:col>5</xdr:col>
                <xdr:colOff>609600</xdr:colOff>
                <xdr:row>2</xdr:row>
                <xdr:rowOff>542925</xdr:rowOff>
              </to>
            </anchor>
          </controlPr>
        </control>
      </mc:Choice>
      <mc:Fallback>
        <control shapeId="38939" r:id="rId35" name="TextBox7"/>
      </mc:Fallback>
    </mc:AlternateContent>
    <mc:AlternateContent xmlns:mc="http://schemas.openxmlformats.org/markup-compatibility/2006">
      <mc:Choice Requires="x14">
        <control shapeId="38984" r:id="rId37" name="CommandButton8">
          <controlPr defaultSize="0" disabled="1" autoLine="0" r:id="rId38">
            <anchor>
              <from>
                <xdr:col>14</xdr:col>
                <xdr:colOff>657225</xdr:colOff>
                <xdr:row>0</xdr:row>
                <xdr:rowOff>0</xdr:rowOff>
              </from>
              <to>
                <xdr:col>16</xdr:col>
                <xdr:colOff>19050</xdr:colOff>
                <xdr:row>1</xdr:row>
                <xdr:rowOff>0</xdr:rowOff>
              </to>
            </anchor>
          </controlPr>
        </control>
      </mc:Choice>
      <mc:Fallback>
        <control shapeId="38984" r:id="rId37" name="CommandButton8"/>
      </mc:Fallback>
    </mc:AlternateContent>
    <mc:AlternateContent xmlns:mc="http://schemas.openxmlformats.org/markup-compatibility/2006">
      <mc:Choice Requires="x14">
        <control shapeId="39299" r:id="rId39" name="Label1">
          <controlPr defaultSize="0" autoLine="0" r:id="rId40">
            <anchor>
              <from>
                <xdr:col>16</xdr:col>
                <xdr:colOff>114300</xdr:colOff>
                <xdr:row>0</xdr:row>
                <xdr:rowOff>57150</xdr:rowOff>
              </from>
              <to>
                <xdr:col>20</xdr:col>
                <xdr:colOff>38100</xdr:colOff>
                <xdr:row>2</xdr:row>
                <xdr:rowOff>161925</xdr:rowOff>
              </to>
            </anchor>
          </controlPr>
        </control>
      </mc:Choice>
      <mc:Fallback>
        <control shapeId="39299" r:id="rId39" name="Label1"/>
      </mc:Fallback>
    </mc:AlternateContent>
    <mc:AlternateContent xmlns:mc="http://schemas.openxmlformats.org/markup-compatibility/2006">
      <mc:Choice Requires="x14">
        <control shapeId="39300" r:id="rId41" name="CommandButton9">
          <controlPr defaultSize="0" autoFill="0" autoLine="0" r:id="rId42">
            <anchor>
              <from>
                <xdr:col>16</xdr:col>
                <xdr:colOff>457200</xdr:colOff>
                <xdr:row>0</xdr:row>
                <xdr:rowOff>180975</xdr:rowOff>
              </from>
              <to>
                <xdr:col>19</xdr:col>
                <xdr:colOff>314325</xdr:colOff>
                <xdr:row>1</xdr:row>
                <xdr:rowOff>266700</xdr:rowOff>
              </to>
            </anchor>
          </controlPr>
        </control>
      </mc:Choice>
      <mc:Fallback>
        <control shapeId="39300" r:id="rId41" name="CommandButton9"/>
      </mc:Fallback>
    </mc:AlternateContent>
    <mc:AlternateContent xmlns:mc="http://schemas.openxmlformats.org/markup-compatibility/2006">
      <mc:Choice Requires="x14">
        <control shapeId="39301" r:id="rId43" name="Label2">
          <controlPr defaultSize="0" autoLine="0" r:id="rId44">
            <anchor>
              <from>
                <xdr:col>1</xdr:col>
                <xdr:colOff>9525</xdr:colOff>
                <xdr:row>1</xdr:row>
                <xdr:rowOff>152400</xdr:rowOff>
              </from>
              <to>
                <xdr:col>1</xdr:col>
                <xdr:colOff>542925</xdr:colOff>
                <xdr:row>2</xdr:row>
                <xdr:rowOff>9525</xdr:rowOff>
              </to>
            </anchor>
          </controlPr>
        </control>
      </mc:Choice>
      <mc:Fallback>
        <control shapeId="39301" r:id="rId43" name="Label2"/>
      </mc:Fallback>
    </mc:AlternateContent>
    <mc:AlternateContent xmlns:mc="http://schemas.openxmlformats.org/markup-compatibility/2006">
      <mc:Choice Requires="x14">
        <control shapeId="39302" r:id="rId45" name="Label3">
          <controlPr defaultSize="0" autoLine="0" r:id="rId46">
            <anchor>
              <from>
                <xdr:col>2</xdr:col>
                <xdr:colOff>990600</xdr:colOff>
                <xdr:row>1</xdr:row>
                <xdr:rowOff>152400</xdr:rowOff>
              </from>
              <to>
                <xdr:col>4</xdr:col>
                <xdr:colOff>133350</xdr:colOff>
                <xdr:row>2</xdr:row>
                <xdr:rowOff>47625</xdr:rowOff>
              </to>
            </anchor>
          </controlPr>
        </control>
      </mc:Choice>
      <mc:Fallback>
        <control shapeId="39302" r:id="rId45" name="Label3"/>
      </mc:Fallback>
    </mc:AlternateContent>
    <mc:AlternateContent xmlns:mc="http://schemas.openxmlformats.org/markup-compatibility/2006">
      <mc:Choice Requires="x14">
        <control shapeId="39305" r:id="rId47" name="Label5">
          <controlPr defaultSize="0" disabled="1" autoFill="0" autoLine="0" r:id="rId48">
            <anchor>
              <from>
                <xdr:col>9</xdr:col>
                <xdr:colOff>38100</xdr:colOff>
                <xdr:row>2</xdr:row>
                <xdr:rowOff>133350</xdr:rowOff>
              </from>
              <to>
                <xdr:col>11</xdr:col>
                <xdr:colOff>76200</xdr:colOff>
                <xdr:row>2</xdr:row>
                <xdr:rowOff>485775</xdr:rowOff>
              </to>
            </anchor>
          </controlPr>
        </control>
      </mc:Choice>
      <mc:Fallback>
        <control shapeId="39305" r:id="rId47" name="Label5"/>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262C6-3F9B-4803-91AF-B50CC2D123B3}">
  <sheetPr codeName="Sheet2">
    <pageSetUpPr fitToPage="1"/>
  </sheetPr>
  <dimension ref="A1:AH134"/>
  <sheetViews>
    <sheetView view="pageBreakPreview" topLeftCell="O1" zoomScale="75" zoomScaleNormal="100" zoomScaleSheetLayoutView="75" workbookViewId="0">
      <selection activeCell="AL19" sqref="AL19"/>
    </sheetView>
  </sheetViews>
  <sheetFormatPr defaultColWidth="8.75" defaultRowHeight="13.5" x14ac:dyDescent="0.15"/>
  <cols>
    <col min="1" max="1" width="1" style="44" customWidth="1"/>
    <col min="2" max="2" width="8.625" style="44" customWidth="1"/>
    <col min="3" max="3" width="15.125" style="44" customWidth="1"/>
    <col min="4" max="4" width="1" style="44" customWidth="1"/>
    <col min="5" max="5" width="8.75" style="44"/>
    <col min="6" max="6" width="15.125" style="44" customWidth="1"/>
    <col min="7" max="7" width="1" style="44" customWidth="1"/>
    <col min="8" max="8" width="8.75" style="44"/>
    <col min="9" max="9" width="15.125" style="44" customWidth="1"/>
    <col min="10" max="10" width="1" style="44" customWidth="1"/>
    <col min="11" max="11" width="8.75" style="44"/>
    <col min="12" max="12" width="15.125" style="44" customWidth="1"/>
    <col min="13" max="13" width="1" style="44" customWidth="1"/>
    <col min="14" max="14" width="8.75" style="44"/>
    <col min="15" max="15" width="15.125" style="44" customWidth="1"/>
    <col min="16" max="16" width="1" style="44" customWidth="1"/>
    <col min="17" max="17" width="10.375" style="44" customWidth="1"/>
    <col min="18" max="18" width="1" style="44" customWidth="1"/>
    <col min="19" max="19" width="8.625" style="44" customWidth="1"/>
    <col min="20" max="20" width="15" style="44" customWidth="1"/>
    <col min="21" max="21" width="1" style="44" customWidth="1"/>
    <col min="22" max="22" width="8.625" style="44" customWidth="1"/>
    <col min="23" max="23" width="15" style="44" customWidth="1"/>
    <col min="24" max="24" width="1" style="44" customWidth="1"/>
    <col min="25" max="25" width="8.625" style="44" customWidth="1"/>
    <col min="26" max="26" width="15" style="44" customWidth="1"/>
    <col min="27" max="27" width="1" style="44" customWidth="1"/>
    <col min="28" max="28" width="8.625" style="44" customWidth="1"/>
    <col min="29" max="29" width="15" style="44" customWidth="1"/>
    <col min="30" max="30" width="1" style="44" customWidth="1"/>
    <col min="31" max="31" width="8.625" style="44" customWidth="1"/>
    <col min="32" max="32" width="15" style="44" customWidth="1"/>
    <col min="33" max="16384" width="8.75" style="44"/>
  </cols>
  <sheetData>
    <row r="1" spans="1:34" ht="5.45" customHeight="1" thickBot="1" x14ac:dyDescent="0.2">
      <c r="A1" s="40">
        <v>1</v>
      </c>
      <c r="B1" s="40"/>
      <c r="C1" s="40"/>
      <c r="D1" s="40"/>
      <c r="E1" s="40"/>
      <c r="F1" s="40"/>
      <c r="G1" s="40"/>
      <c r="H1" s="40"/>
      <c r="I1" s="40"/>
      <c r="J1" s="40"/>
      <c r="K1" s="40"/>
      <c r="L1" s="40"/>
      <c r="M1" s="40"/>
      <c r="N1" s="40"/>
      <c r="O1" s="40"/>
      <c r="P1" s="40"/>
      <c r="Q1" s="41"/>
      <c r="R1" s="41">
        <v>1</v>
      </c>
      <c r="S1" s="42"/>
      <c r="T1" s="42">
        <v>2</v>
      </c>
      <c r="U1" s="42">
        <v>3</v>
      </c>
      <c r="V1" s="42">
        <v>4</v>
      </c>
      <c r="W1" s="42">
        <v>5</v>
      </c>
      <c r="X1" s="42">
        <v>6</v>
      </c>
      <c r="Y1" s="42">
        <v>7</v>
      </c>
      <c r="Z1" s="42">
        <v>8</v>
      </c>
      <c r="AA1" s="42">
        <v>9</v>
      </c>
      <c r="AB1" s="42">
        <v>10</v>
      </c>
      <c r="AC1" s="42">
        <v>11</v>
      </c>
      <c r="AD1" s="42">
        <v>12</v>
      </c>
      <c r="AE1" s="42">
        <v>13</v>
      </c>
      <c r="AF1" s="42">
        <v>14</v>
      </c>
      <c r="AG1" s="43"/>
    </row>
    <row r="2" spans="1:34" ht="19.5" customHeight="1" thickBot="1" x14ac:dyDescent="0.2">
      <c r="B2" s="94" t="str">
        <f>'CAPACITOR-10-50pF'!B5</f>
        <v xml:space="preserve">C  STD  </v>
      </c>
      <c r="C2" s="102"/>
      <c r="E2" s="94" t="str">
        <f>'CAPACITOR-10-50pF'!E5</f>
        <v xml:space="preserve">C  STD  </v>
      </c>
      <c r="F2" s="102"/>
      <c r="H2" s="94" t="str">
        <f>'CAPACITOR-10-50pF'!H5</f>
        <v xml:space="preserve">C  STD  </v>
      </c>
      <c r="I2" s="102"/>
      <c r="K2" s="94" t="str">
        <f>'CAPACITOR-10-50pF'!K5</f>
        <v xml:space="preserve">C  STD  </v>
      </c>
      <c r="L2" s="102"/>
      <c r="N2" s="94" t="str">
        <f>'CAPACITOR-10-50pF'!N5</f>
        <v xml:space="preserve">C  STD  </v>
      </c>
      <c r="O2" s="102"/>
      <c r="Q2" s="45"/>
      <c r="R2" s="41">
        <v>1</v>
      </c>
      <c r="S2" s="100" t="str">
        <f>B2</f>
        <v xml:space="preserve">C  STD  </v>
      </c>
      <c r="T2" s="101"/>
      <c r="U2" s="46"/>
      <c r="V2" s="100" t="str">
        <f>E2</f>
        <v xml:space="preserve">C  STD  </v>
      </c>
      <c r="W2" s="101"/>
      <c r="X2" s="46"/>
      <c r="Y2" s="100" t="str">
        <f>H2</f>
        <v xml:space="preserve">C  STD  </v>
      </c>
      <c r="Z2" s="101"/>
      <c r="AA2" s="46"/>
      <c r="AB2" s="100" t="str">
        <f>K2</f>
        <v xml:space="preserve">C  STD  </v>
      </c>
      <c r="AC2" s="101"/>
      <c r="AD2" s="46"/>
      <c r="AE2" s="100" t="str">
        <f>N2</f>
        <v xml:space="preserve">C  STD  </v>
      </c>
      <c r="AF2" s="101"/>
      <c r="AG2" s="47" t="s">
        <v>19</v>
      </c>
      <c r="AH2" s="48">
        <f>'CAPACITOR-10-50pF'!Z8</f>
        <v>0</v>
      </c>
    </row>
    <row r="3" spans="1:34" ht="19.5" customHeight="1" x14ac:dyDescent="0.15">
      <c r="B3" s="49" t="s">
        <v>0</v>
      </c>
      <c r="C3" s="50" t="str">
        <f>IF('CAPACITOR-10-50pF'!C6="","",'CAPACITOR-10-50pF'!C6)</f>
        <v/>
      </c>
      <c r="E3" s="49" t="s">
        <v>0</v>
      </c>
      <c r="F3" s="50" t="str">
        <f>IF('CAPACITOR-10-50pF'!F6="","",'CAPACITOR-10-50pF'!F6)</f>
        <v/>
      </c>
      <c r="H3" s="49" t="s">
        <v>0</v>
      </c>
      <c r="I3" s="50" t="str">
        <f>IF('CAPACITOR-10-50pF'!I6="","",'CAPACITOR-10-50pF'!I6)</f>
        <v/>
      </c>
      <c r="K3" s="49" t="s">
        <v>0</v>
      </c>
      <c r="L3" s="50" t="str">
        <f>IF('CAPACITOR-10-50pF'!L6="","",'CAPACITOR-10-50pF'!L6)</f>
        <v/>
      </c>
      <c r="N3" s="49" t="s">
        <v>0</v>
      </c>
      <c r="O3" s="50" t="str">
        <f>IF('CAPACITOR-10-50pF'!O6="","",'CAPACITOR-10-50pF'!O6)</f>
        <v/>
      </c>
      <c r="Q3" s="51"/>
      <c r="R3" s="52" t="str">
        <f>IF(T3&lt;&gt;"","1","")</f>
        <v/>
      </c>
      <c r="S3" s="49" t="s">
        <v>0</v>
      </c>
      <c r="T3" s="53" t="str">
        <f>C3</f>
        <v/>
      </c>
      <c r="U3" s="54"/>
      <c r="V3" s="49" t="s">
        <v>0</v>
      </c>
      <c r="W3" s="53" t="str">
        <f>F3</f>
        <v/>
      </c>
      <c r="X3" s="55"/>
      <c r="Y3" s="49" t="s">
        <v>0</v>
      </c>
      <c r="Z3" s="53" t="str">
        <f>I3</f>
        <v/>
      </c>
      <c r="AA3" s="55"/>
      <c r="AB3" s="49" t="s">
        <v>0</v>
      </c>
      <c r="AC3" s="53" t="str">
        <f>L3</f>
        <v/>
      </c>
      <c r="AD3" s="55"/>
      <c r="AE3" s="49" t="s">
        <v>0</v>
      </c>
      <c r="AF3" s="53" t="str">
        <f>O3</f>
        <v/>
      </c>
    </row>
    <row r="4" spans="1:34" ht="19.5" customHeight="1" x14ac:dyDescent="0.15">
      <c r="B4" s="49" t="s">
        <v>1</v>
      </c>
      <c r="C4" s="56" t="str">
        <f>IF('CAPACITOR-10-50pF'!C7="","",'CAPACITOR-10-50pF'!C7)</f>
        <v/>
      </c>
      <c r="D4" s="57"/>
      <c r="E4" s="49" t="s">
        <v>1</v>
      </c>
      <c r="F4" s="56" t="str">
        <f>IF('CAPACITOR-10-50pF'!F7="","",'CAPACITOR-10-50pF'!F7)</f>
        <v/>
      </c>
      <c r="G4" s="57"/>
      <c r="H4" s="49" t="s">
        <v>1</v>
      </c>
      <c r="I4" s="56" t="str">
        <f>IF('CAPACITOR-10-50pF'!I7="","",'CAPACITOR-10-50pF'!I7)</f>
        <v/>
      </c>
      <c r="J4" s="57"/>
      <c r="K4" s="49" t="s">
        <v>1</v>
      </c>
      <c r="L4" s="56" t="str">
        <f>IF('CAPACITOR-10-50pF'!L7="","",'CAPACITOR-10-50pF'!L7)</f>
        <v/>
      </c>
      <c r="M4" s="57"/>
      <c r="N4" s="49" t="s">
        <v>1</v>
      </c>
      <c r="O4" s="56" t="str">
        <f>IF('CAPACITOR-10-50pF'!O7="","",'CAPACITOR-10-50pF'!O7)</f>
        <v/>
      </c>
      <c r="Q4" s="58"/>
      <c r="R4" s="52" t="str">
        <f t="shared" ref="R4:R7" si="0">IF(T4&lt;&gt;"","1","")</f>
        <v/>
      </c>
      <c r="S4" s="49" t="s">
        <v>1</v>
      </c>
      <c r="T4" s="59" t="str">
        <f>IF(C4="","",ROUNDDOWN(C4,4))</f>
        <v/>
      </c>
      <c r="U4" s="60"/>
      <c r="V4" s="49" t="s">
        <v>1</v>
      </c>
      <c r="W4" s="59" t="str">
        <f>IF(F4="","",ROUNDDOWN(F4,4))</f>
        <v/>
      </c>
      <c r="X4" s="61"/>
      <c r="Y4" s="49" t="s">
        <v>1</v>
      </c>
      <c r="Z4" s="59" t="str">
        <f>IF(I4="","",ROUNDDOWN(I4,4))</f>
        <v/>
      </c>
      <c r="AA4" s="62"/>
      <c r="AB4" s="49" t="s">
        <v>1</v>
      </c>
      <c r="AC4" s="59" t="str">
        <f>IF(L4="","",ROUNDDOWN(L4,4))</f>
        <v/>
      </c>
      <c r="AD4" s="62"/>
      <c r="AE4" s="49" t="s">
        <v>1</v>
      </c>
      <c r="AF4" s="59" t="str">
        <f>IF(O4="","",ROUNDDOWN(O4,4))</f>
        <v/>
      </c>
    </row>
    <row r="5" spans="1:34" ht="27" customHeight="1" x14ac:dyDescent="0.15">
      <c r="B5" s="49" t="s">
        <v>34</v>
      </c>
      <c r="C5" s="63" t="str">
        <f>T5</f>
        <v/>
      </c>
      <c r="D5" s="57"/>
      <c r="E5" s="49" t="s">
        <v>34</v>
      </c>
      <c r="F5" s="63" t="str">
        <f>W5</f>
        <v/>
      </c>
      <c r="G5" s="57"/>
      <c r="H5" s="49" t="s">
        <v>34</v>
      </c>
      <c r="I5" s="63" t="str">
        <f>Z5</f>
        <v/>
      </c>
      <c r="J5" s="57"/>
      <c r="K5" s="49" t="s">
        <v>34</v>
      </c>
      <c r="L5" s="63" t="str">
        <f>AC5</f>
        <v/>
      </c>
      <c r="M5" s="57"/>
      <c r="N5" s="49" t="s">
        <v>34</v>
      </c>
      <c r="O5" s="63" t="str">
        <f>AF5</f>
        <v/>
      </c>
      <c r="R5" s="52" t="str">
        <f t="shared" si="0"/>
        <v/>
      </c>
      <c r="S5" s="64" t="s">
        <v>34</v>
      </c>
      <c r="T5" s="65" t="str">
        <f>IF(T4="","","*"&amp;T4&amp;"*")</f>
        <v/>
      </c>
      <c r="U5" s="66"/>
      <c r="V5" s="64" t="s">
        <v>34</v>
      </c>
      <c r="W5" s="65" t="str">
        <f>IF(W4="","","*"&amp;W4&amp;"*")</f>
        <v/>
      </c>
      <c r="X5" s="66"/>
      <c r="Y5" s="64" t="s">
        <v>34</v>
      </c>
      <c r="Z5" s="65" t="str">
        <f>IF(Z4="","","*"&amp;Z4&amp;"*")</f>
        <v/>
      </c>
      <c r="AA5" s="66"/>
      <c r="AB5" s="64" t="s">
        <v>34</v>
      </c>
      <c r="AC5" s="65" t="str">
        <f>IF(AC4="","","*"&amp;AC4&amp;"*")</f>
        <v/>
      </c>
      <c r="AD5" s="66"/>
      <c r="AE5" s="64" t="s">
        <v>34</v>
      </c>
      <c r="AF5" s="65" t="str">
        <f>IF(AF4="","","*"&amp;AF4&amp;"*")</f>
        <v/>
      </c>
    </row>
    <row r="6" spans="1:34" ht="19.5" customHeight="1" x14ac:dyDescent="0.15">
      <c r="B6" s="49" t="s">
        <v>2</v>
      </c>
      <c r="C6" s="67" t="str">
        <f>IF('CAPACITOR-10-50pF'!C8="","",'CAPACITOR-10-50pF'!C8)</f>
        <v/>
      </c>
      <c r="D6" s="57"/>
      <c r="E6" s="49" t="s">
        <v>2</v>
      </c>
      <c r="F6" s="67" t="str">
        <f>IF('CAPACITOR-10-50pF'!F8="","",'CAPACITOR-10-50pF'!F8)</f>
        <v/>
      </c>
      <c r="G6" s="57"/>
      <c r="H6" s="49" t="s">
        <v>2</v>
      </c>
      <c r="I6" s="67" t="str">
        <f>IF('CAPACITOR-10-50pF'!I8="","",'CAPACITOR-10-50pF'!I8)</f>
        <v/>
      </c>
      <c r="J6" s="57"/>
      <c r="K6" s="49" t="s">
        <v>2</v>
      </c>
      <c r="L6" s="67" t="str">
        <f>IF('CAPACITOR-10-50pF'!L8="","",'CAPACITOR-10-50pF'!L8)</f>
        <v/>
      </c>
      <c r="M6" s="57"/>
      <c r="N6" s="49" t="s">
        <v>2</v>
      </c>
      <c r="O6" s="67" t="str">
        <f>IF('CAPACITOR-10-50pF'!O8="","",'CAPACITOR-10-50pF'!O8)</f>
        <v/>
      </c>
      <c r="Q6" s="68"/>
      <c r="R6" s="52" t="str">
        <f t="shared" si="0"/>
        <v/>
      </c>
      <c r="S6" s="49" t="s">
        <v>2</v>
      </c>
      <c r="T6" s="69" t="str">
        <f>IF(C6="","",ROUNDDOWN((C6*100),4))</f>
        <v/>
      </c>
      <c r="U6" s="66"/>
      <c r="V6" s="49" t="s">
        <v>2</v>
      </c>
      <c r="W6" s="69" t="str">
        <f>IF(F6="","",ROUNDDOWN((F6*100),4))</f>
        <v/>
      </c>
      <c r="X6" s="66"/>
      <c r="Y6" s="49" t="s">
        <v>2</v>
      </c>
      <c r="Z6" s="69" t="str">
        <f>IF(I6="","",ROUNDDOWN((I6*100),4))</f>
        <v/>
      </c>
      <c r="AA6" s="66"/>
      <c r="AB6" s="49" t="s">
        <v>2</v>
      </c>
      <c r="AC6" s="69" t="str">
        <f>IF(L6="","",ROUNDDOWN((L6*100),4))</f>
        <v/>
      </c>
      <c r="AD6" s="66"/>
      <c r="AE6" s="49" t="s">
        <v>2</v>
      </c>
      <c r="AF6" s="69" t="str">
        <f>IF(O6="","",ROUNDDOWN((O6*100),4))</f>
        <v/>
      </c>
    </row>
    <row r="7" spans="1:34" ht="27" customHeight="1" x14ac:dyDescent="0.15">
      <c r="B7" s="49" t="s">
        <v>35</v>
      </c>
      <c r="C7" s="63" t="str">
        <f>T7</f>
        <v/>
      </c>
      <c r="D7" s="57"/>
      <c r="E7" s="49" t="s">
        <v>35</v>
      </c>
      <c r="F7" s="63" t="str">
        <f>W7</f>
        <v/>
      </c>
      <c r="G7" s="57"/>
      <c r="H7" s="49" t="s">
        <v>35</v>
      </c>
      <c r="I7" s="63" t="str">
        <f>Z7</f>
        <v/>
      </c>
      <c r="J7" s="57"/>
      <c r="K7" s="49" t="s">
        <v>35</v>
      </c>
      <c r="L7" s="63" t="str">
        <f>AC7</f>
        <v/>
      </c>
      <c r="M7" s="57"/>
      <c r="N7" s="49" t="s">
        <v>35</v>
      </c>
      <c r="O7" s="63" t="str">
        <f>AF7</f>
        <v/>
      </c>
      <c r="R7" s="52" t="str">
        <f t="shared" si="0"/>
        <v/>
      </c>
      <c r="S7" s="49" t="s">
        <v>35</v>
      </c>
      <c r="T7" s="70" t="str">
        <f>IF(T6="","","*"&amp;T6&amp;"*")</f>
        <v/>
      </c>
      <c r="U7" s="66"/>
      <c r="V7" s="49" t="s">
        <v>35</v>
      </c>
      <c r="W7" s="70" t="str">
        <f>IF(W6="","","*"&amp;W6&amp;"*")</f>
        <v/>
      </c>
      <c r="X7" s="66"/>
      <c r="Y7" s="49" t="s">
        <v>35</v>
      </c>
      <c r="Z7" s="70" t="str">
        <f>IF(Z6="","","*"&amp;Z6&amp;"*")</f>
        <v/>
      </c>
      <c r="AA7" s="66"/>
      <c r="AB7" s="49" t="s">
        <v>35</v>
      </c>
      <c r="AC7" s="70" t="str">
        <f>IF(AC6="","","*"&amp;AC6&amp;"*")</f>
        <v/>
      </c>
      <c r="AD7" s="66"/>
      <c r="AE7" s="49" t="s">
        <v>35</v>
      </c>
      <c r="AF7" s="70" t="str">
        <f>IF(AF6="","","*"&amp;AF6&amp;"*")</f>
        <v/>
      </c>
    </row>
    <row r="8" spans="1:34" ht="54.95" customHeight="1" x14ac:dyDescent="0.15">
      <c r="A8" s="71"/>
      <c r="B8" s="72" t="s">
        <v>3</v>
      </c>
      <c r="C8" s="49"/>
      <c r="D8" s="71"/>
      <c r="E8" s="72" t="s">
        <v>3</v>
      </c>
      <c r="F8" s="49"/>
      <c r="G8" s="71"/>
      <c r="H8" s="72" t="s">
        <v>3</v>
      </c>
      <c r="I8" s="49"/>
      <c r="J8" s="71"/>
      <c r="K8" s="72" t="s">
        <v>3</v>
      </c>
      <c r="L8" s="49"/>
      <c r="M8" s="71"/>
      <c r="N8" s="72" t="s">
        <v>3</v>
      </c>
      <c r="O8" s="49"/>
      <c r="P8" s="71"/>
      <c r="Q8" s="71"/>
      <c r="R8" s="73">
        <v>1</v>
      </c>
      <c r="S8" s="72" t="s">
        <v>3</v>
      </c>
      <c r="T8" s="27" t="s">
        <v>38</v>
      </c>
      <c r="U8" s="74"/>
      <c r="V8" s="72" t="s">
        <v>3</v>
      </c>
      <c r="W8" s="75"/>
      <c r="X8" s="74"/>
      <c r="Y8" s="72" t="s">
        <v>3</v>
      </c>
      <c r="Z8" s="75"/>
      <c r="AA8" s="74"/>
      <c r="AB8" s="72" t="s">
        <v>3</v>
      </c>
      <c r="AC8" s="75"/>
      <c r="AD8" s="74"/>
      <c r="AE8" s="72" t="s">
        <v>3</v>
      </c>
      <c r="AF8" s="75"/>
    </row>
    <row r="9" spans="1:34" ht="20.100000000000001" customHeight="1" x14ac:dyDescent="0.15">
      <c r="B9" s="49" t="s">
        <v>4</v>
      </c>
      <c r="C9" s="76" t="str">
        <f>'CAPACITOR-10-50pF'!C10</f>
        <v/>
      </c>
      <c r="E9" s="49" t="s">
        <v>4</v>
      </c>
      <c r="F9" s="76" t="str">
        <f>'CAPACITOR-10-50pF'!F10</f>
        <v/>
      </c>
      <c r="H9" s="49" t="s">
        <v>4</v>
      </c>
      <c r="I9" s="76" t="str">
        <f>'CAPACITOR-10-50pF'!I10</f>
        <v/>
      </c>
      <c r="K9" s="49" t="s">
        <v>4</v>
      </c>
      <c r="L9" s="76" t="str">
        <f>'CAPACITOR-10-50pF'!L10</f>
        <v/>
      </c>
      <c r="N9" s="49" t="s">
        <v>4</v>
      </c>
      <c r="O9" s="76" t="str">
        <f>'CAPACITOR-10-50pF'!O10</f>
        <v/>
      </c>
      <c r="R9" s="52">
        <v>1</v>
      </c>
      <c r="S9" s="49" t="s">
        <v>4</v>
      </c>
      <c r="T9" s="77" t="str">
        <f>IF(C9="","",C9)</f>
        <v/>
      </c>
      <c r="U9" s="54"/>
      <c r="V9" s="49" t="s">
        <v>4</v>
      </c>
      <c r="W9" s="77" t="str">
        <f>IF(F9="","",F9)</f>
        <v/>
      </c>
      <c r="X9" s="55"/>
      <c r="Y9" s="49" t="s">
        <v>4</v>
      </c>
      <c r="Z9" s="77" t="str">
        <f>IF(I9="","",I9)</f>
        <v/>
      </c>
      <c r="AA9" s="55"/>
      <c r="AB9" s="49" t="s">
        <v>4</v>
      </c>
      <c r="AC9" s="77" t="str">
        <f>IF(L9="","",L9)</f>
        <v/>
      </c>
      <c r="AD9" s="55"/>
      <c r="AE9" s="49" t="s">
        <v>4</v>
      </c>
      <c r="AF9" s="77" t="str">
        <f>IF(O9="","",O9)</f>
        <v/>
      </c>
    </row>
    <row r="10" spans="1:34" ht="20.100000000000001" customHeight="1" x14ac:dyDescent="0.15">
      <c r="B10" s="98">
        <v>1</v>
      </c>
      <c r="C10" s="99"/>
      <c r="D10" s="78">
        <v>1</v>
      </c>
      <c r="E10" s="98">
        <v>2</v>
      </c>
      <c r="F10" s="99"/>
      <c r="G10" s="78">
        <v>2</v>
      </c>
      <c r="H10" s="98">
        <v>3</v>
      </c>
      <c r="I10" s="99"/>
      <c r="J10" s="78">
        <v>2</v>
      </c>
      <c r="K10" s="98">
        <v>4</v>
      </c>
      <c r="L10" s="99"/>
      <c r="M10" s="78">
        <v>2</v>
      </c>
      <c r="N10" s="98">
        <v>5</v>
      </c>
      <c r="O10" s="99"/>
      <c r="R10" s="52" t="str">
        <f>IF(S10=1,"1","")</f>
        <v>1</v>
      </c>
      <c r="S10" s="92">
        <v>1</v>
      </c>
      <c r="T10" s="93"/>
      <c r="U10" s="78">
        <v>1</v>
      </c>
      <c r="V10" s="92">
        <v>2</v>
      </c>
      <c r="W10" s="93"/>
      <c r="X10" s="78">
        <v>2</v>
      </c>
      <c r="Y10" s="92">
        <v>3</v>
      </c>
      <c r="Z10" s="93"/>
      <c r="AA10" s="78">
        <v>2</v>
      </c>
      <c r="AB10" s="92">
        <v>4</v>
      </c>
      <c r="AC10" s="93"/>
      <c r="AD10" s="78">
        <v>2</v>
      </c>
      <c r="AE10" s="92">
        <v>5</v>
      </c>
      <c r="AF10" s="93"/>
    </row>
    <row r="11" spans="1:34" ht="6.75" customHeight="1" x14ac:dyDescent="0.15">
      <c r="B11" s="79"/>
      <c r="C11" s="80"/>
      <c r="D11" s="78"/>
      <c r="E11" s="79"/>
      <c r="F11" s="80"/>
      <c r="G11" s="78"/>
      <c r="H11" s="79"/>
      <c r="I11" s="80"/>
      <c r="J11" s="78"/>
      <c r="K11" s="79"/>
      <c r="L11" s="80"/>
      <c r="M11" s="78"/>
      <c r="N11" s="79"/>
      <c r="O11" s="80"/>
      <c r="R11" s="52"/>
      <c r="S11" s="81"/>
      <c r="T11" s="82"/>
      <c r="U11" s="78"/>
      <c r="V11" s="81"/>
      <c r="W11" s="82"/>
      <c r="X11" s="78"/>
      <c r="Y11" s="81"/>
      <c r="Z11" s="82"/>
      <c r="AA11" s="78"/>
      <c r="AB11" s="81"/>
      <c r="AC11" s="82"/>
      <c r="AD11" s="78"/>
      <c r="AE11" s="81"/>
      <c r="AF11" s="82"/>
    </row>
    <row r="12" spans="1:34" ht="19.5" customHeight="1" x14ac:dyDescent="0.15">
      <c r="B12" s="94" t="str">
        <f>'CAPACITOR-10-50pF'!B12</f>
        <v xml:space="preserve">C  STD  </v>
      </c>
      <c r="C12" s="102"/>
      <c r="E12" s="94" t="str">
        <f>'CAPACITOR-10-50pF'!E12</f>
        <v xml:space="preserve">C  STD  </v>
      </c>
      <c r="F12" s="102"/>
      <c r="H12" s="94" t="str">
        <f>'CAPACITOR-10-50pF'!H12</f>
        <v xml:space="preserve">C  STD  </v>
      </c>
      <c r="I12" s="102"/>
      <c r="K12" s="94" t="str">
        <f>'CAPACITOR-10-50pF'!K12</f>
        <v xml:space="preserve">C  STD  </v>
      </c>
      <c r="L12" s="102"/>
      <c r="N12" s="94" t="str">
        <f>'CAPACITOR-10-50pF'!N12</f>
        <v xml:space="preserve">C  STD  </v>
      </c>
      <c r="O12" s="102"/>
      <c r="Q12" s="58"/>
      <c r="R12" s="41">
        <v>1</v>
      </c>
      <c r="S12" s="100" t="str">
        <f>B12</f>
        <v xml:space="preserve">C  STD  </v>
      </c>
      <c r="T12" s="101"/>
      <c r="U12" s="46"/>
      <c r="V12" s="100" t="str">
        <f>E12</f>
        <v xml:space="preserve">C  STD  </v>
      </c>
      <c r="W12" s="101"/>
      <c r="X12" s="46"/>
      <c r="Y12" s="100" t="str">
        <f>H12</f>
        <v xml:space="preserve">C  STD  </v>
      </c>
      <c r="Z12" s="101"/>
      <c r="AA12" s="46"/>
      <c r="AB12" s="100" t="str">
        <f>K12</f>
        <v xml:space="preserve">C  STD  </v>
      </c>
      <c r="AC12" s="101"/>
      <c r="AD12" s="46"/>
      <c r="AE12" s="100" t="str">
        <f>N12</f>
        <v xml:space="preserve">C  STD  </v>
      </c>
      <c r="AF12" s="101"/>
    </row>
    <row r="13" spans="1:34" ht="19.5" customHeight="1" x14ac:dyDescent="0.15">
      <c r="B13" s="49" t="s">
        <v>0</v>
      </c>
      <c r="C13" s="50" t="str">
        <f>IF('CAPACITOR-10-50pF'!C13="","",'CAPACITOR-10-50pF'!C13)</f>
        <v/>
      </c>
      <c r="E13" s="49" t="s">
        <v>0</v>
      </c>
      <c r="F13" s="50" t="str">
        <f>IF('CAPACITOR-10-50pF'!F13="","",'CAPACITOR-10-50pF'!F13)</f>
        <v/>
      </c>
      <c r="H13" s="49" t="s">
        <v>0</v>
      </c>
      <c r="I13" s="50" t="str">
        <f>IF('CAPACITOR-10-50pF'!I13="","",'CAPACITOR-10-50pF'!I13)</f>
        <v/>
      </c>
      <c r="K13" s="49" t="s">
        <v>0</v>
      </c>
      <c r="L13" s="50" t="str">
        <f>IF('CAPACITOR-10-50pF'!L13="","",'CAPACITOR-10-50pF'!L13)</f>
        <v/>
      </c>
      <c r="N13" s="49" t="s">
        <v>0</v>
      </c>
      <c r="O13" s="50" t="str">
        <f>IF('CAPACITOR-10-50pF'!O13="","",'CAPACITOR-10-50pF'!O13)</f>
        <v/>
      </c>
      <c r="Q13" s="58"/>
      <c r="R13" s="52" t="str">
        <f>IF(T13&lt;&gt;"","1","")</f>
        <v/>
      </c>
      <c r="S13" s="49" t="s">
        <v>0</v>
      </c>
      <c r="T13" s="53" t="str">
        <f>C13</f>
        <v/>
      </c>
      <c r="U13" s="54"/>
      <c r="V13" s="49" t="s">
        <v>0</v>
      </c>
      <c r="W13" s="53" t="str">
        <f>F13</f>
        <v/>
      </c>
      <c r="X13" s="55"/>
      <c r="Y13" s="49" t="s">
        <v>0</v>
      </c>
      <c r="Z13" s="53" t="str">
        <f>I13</f>
        <v/>
      </c>
      <c r="AA13" s="55"/>
      <c r="AB13" s="49" t="s">
        <v>0</v>
      </c>
      <c r="AC13" s="53" t="str">
        <f>L13</f>
        <v/>
      </c>
      <c r="AD13" s="55"/>
      <c r="AE13" s="49" t="s">
        <v>0</v>
      </c>
      <c r="AF13" s="53" t="str">
        <f>O13</f>
        <v/>
      </c>
    </row>
    <row r="14" spans="1:34" ht="19.5" customHeight="1" x14ac:dyDescent="0.15">
      <c r="B14" s="49" t="s">
        <v>1</v>
      </c>
      <c r="C14" s="56" t="str">
        <f>IF('CAPACITOR-10-50pF'!C14="","",'CAPACITOR-10-50pF'!C14)</f>
        <v/>
      </c>
      <c r="D14" s="57"/>
      <c r="E14" s="49" t="s">
        <v>1</v>
      </c>
      <c r="F14" s="56" t="str">
        <f>IF('CAPACITOR-10-50pF'!F14="","",'CAPACITOR-10-50pF'!F14)</f>
        <v/>
      </c>
      <c r="G14" s="57"/>
      <c r="H14" s="49" t="s">
        <v>1</v>
      </c>
      <c r="I14" s="56" t="str">
        <f>IF('CAPACITOR-10-50pF'!I14="","",'CAPACITOR-10-50pF'!I14)</f>
        <v/>
      </c>
      <c r="J14" s="57"/>
      <c r="K14" s="49" t="s">
        <v>1</v>
      </c>
      <c r="L14" s="56" t="str">
        <f>IF('CAPACITOR-10-50pF'!L14="","",'CAPACITOR-10-50pF'!L14)</f>
        <v/>
      </c>
      <c r="M14" s="57"/>
      <c r="N14" s="49" t="s">
        <v>1</v>
      </c>
      <c r="O14" s="56" t="str">
        <f>IF('CAPACITOR-10-50pF'!O14="","",'CAPACITOR-10-50pF'!O14)</f>
        <v/>
      </c>
      <c r="Q14" s="58"/>
      <c r="R14" s="52" t="str">
        <f t="shared" ref="R14:R17" si="1">IF(T14&lt;&gt;"","1","")</f>
        <v/>
      </c>
      <c r="S14" s="49" t="s">
        <v>1</v>
      </c>
      <c r="T14" s="59" t="str">
        <f>IF(C14="","",ROUNDDOWN(C14,4))</f>
        <v/>
      </c>
      <c r="U14" s="60"/>
      <c r="V14" s="49" t="s">
        <v>1</v>
      </c>
      <c r="W14" s="59" t="str">
        <f>IF(F14="","",ROUNDDOWN(F14,4))</f>
        <v/>
      </c>
      <c r="X14" s="61"/>
      <c r="Y14" s="49" t="s">
        <v>1</v>
      </c>
      <c r="Z14" s="59" t="str">
        <f>IF(I14="","",ROUNDDOWN(I14,4))</f>
        <v/>
      </c>
      <c r="AA14" s="62"/>
      <c r="AB14" s="49" t="s">
        <v>1</v>
      </c>
      <c r="AC14" s="59" t="str">
        <f>IF(L14="","",ROUNDDOWN(L14,4))</f>
        <v/>
      </c>
      <c r="AD14" s="62"/>
      <c r="AE14" s="49" t="s">
        <v>1</v>
      </c>
      <c r="AF14" s="59" t="str">
        <f>IF(O14="","",ROUNDDOWN(O14,4))</f>
        <v/>
      </c>
    </row>
    <row r="15" spans="1:34" ht="27" customHeight="1" x14ac:dyDescent="0.15">
      <c r="B15" s="49" t="s">
        <v>34</v>
      </c>
      <c r="C15" s="63" t="str">
        <f>T15</f>
        <v/>
      </c>
      <c r="D15" s="57"/>
      <c r="E15" s="49" t="s">
        <v>34</v>
      </c>
      <c r="F15" s="63" t="str">
        <f>W15</f>
        <v/>
      </c>
      <c r="G15" s="57"/>
      <c r="H15" s="49" t="s">
        <v>34</v>
      </c>
      <c r="I15" s="63" t="str">
        <f>Z15</f>
        <v/>
      </c>
      <c r="J15" s="57"/>
      <c r="K15" s="49" t="s">
        <v>34</v>
      </c>
      <c r="L15" s="63" t="str">
        <f>AC15</f>
        <v/>
      </c>
      <c r="M15" s="57"/>
      <c r="N15" s="49" t="s">
        <v>34</v>
      </c>
      <c r="O15" s="63" t="str">
        <f>AF15</f>
        <v/>
      </c>
      <c r="R15" s="52" t="str">
        <f t="shared" si="1"/>
        <v/>
      </c>
      <c r="S15" s="64" t="s">
        <v>34</v>
      </c>
      <c r="T15" s="65" t="str">
        <f>IF(T14="","","*"&amp;T14&amp;"*")</f>
        <v/>
      </c>
      <c r="U15" s="66"/>
      <c r="V15" s="64" t="s">
        <v>34</v>
      </c>
      <c r="W15" s="65" t="str">
        <f>IF(W14="","","*"&amp;W14&amp;"*")</f>
        <v/>
      </c>
      <c r="X15" s="66"/>
      <c r="Y15" s="64" t="s">
        <v>34</v>
      </c>
      <c r="Z15" s="65" t="str">
        <f>IF(Z14="","","*"&amp;Z14&amp;"*")</f>
        <v/>
      </c>
      <c r="AA15" s="66"/>
      <c r="AB15" s="64" t="s">
        <v>34</v>
      </c>
      <c r="AC15" s="65" t="str">
        <f>IF(AC14="","","*"&amp;AC14&amp;"*")</f>
        <v/>
      </c>
      <c r="AD15" s="66"/>
      <c r="AE15" s="64" t="s">
        <v>34</v>
      </c>
      <c r="AF15" s="65" t="str">
        <f>IF(AF14="","","*"&amp;AF14&amp;"*")</f>
        <v/>
      </c>
    </row>
    <row r="16" spans="1:34" ht="20.100000000000001" customHeight="1" x14ac:dyDescent="0.15">
      <c r="B16" s="49" t="s">
        <v>2</v>
      </c>
      <c r="C16" s="67" t="str">
        <f>IF('CAPACITOR-10-50pF'!C15="","",'CAPACITOR-10-50pF'!C15)</f>
        <v/>
      </c>
      <c r="D16" s="57"/>
      <c r="E16" s="49" t="s">
        <v>2</v>
      </c>
      <c r="F16" s="67" t="str">
        <f>IF('CAPACITOR-10-50pF'!F15="","",'CAPACITOR-10-50pF'!F15)</f>
        <v/>
      </c>
      <c r="G16" s="57"/>
      <c r="H16" s="49" t="s">
        <v>2</v>
      </c>
      <c r="I16" s="67" t="str">
        <f>IF('CAPACITOR-10-50pF'!I15="","",'CAPACITOR-10-50pF'!I15)</f>
        <v/>
      </c>
      <c r="J16" s="57"/>
      <c r="K16" s="49" t="s">
        <v>2</v>
      </c>
      <c r="L16" s="67" t="str">
        <f>IF('CAPACITOR-10-50pF'!L15="","",'CAPACITOR-10-50pF'!L15)</f>
        <v/>
      </c>
      <c r="M16" s="57"/>
      <c r="N16" s="49" t="s">
        <v>2</v>
      </c>
      <c r="O16" s="67" t="str">
        <f>IF('CAPACITOR-10-50pF'!O15="","",'CAPACITOR-10-50pF'!O15)</f>
        <v/>
      </c>
      <c r="Q16" s="68"/>
      <c r="R16" s="52" t="str">
        <f t="shared" si="1"/>
        <v/>
      </c>
      <c r="S16" s="49" t="s">
        <v>2</v>
      </c>
      <c r="T16" s="69" t="str">
        <f>IF(C16="","",ROUNDDOWN((C16*100),4))</f>
        <v/>
      </c>
      <c r="U16" s="66"/>
      <c r="V16" s="49" t="s">
        <v>2</v>
      </c>
      <c r="W16" s="69" t="str">
        <f>IF(F16="","",ROUNDDOWN((F16*100),4))</f>
        <v/>
      </c>
      <c r="X16" s="66"/>
      <c r="Y16" s="49" t="s">
        <v>2</v>
      </c>
      <c r="Z16" s="69" t="str">
        <f>IF(I16="","",ROUNDDOWN((I16*100),4))</f>
        <v/>
      </c>
      <c r="AA16" s="66"/>
      <c r="AB16" s="49" t="s">
        <v>2</v>
      </c>
      <c r="AC16" s="69" t="str">
        <f>IF(L16="","",ROUNDDOWN((L16*100),4))</f>
        <v/>
      </c>
      <c r="AD16" s="66"/>
      <c r="AE16" s="49" t="s">
        <v>2</v>
      </c>
      <c r="AF16" s="69" t="str">
        <f>IF(O16="","",ROUNDDOWN((O16*100),4))</f>
        <v/>
      </c>
    </row>
    <row r="17" spans="1:32" ht="27" customHeight="1" x14ac:dyDescent="0.15">
      <c r="B17" s="49" t="s">
        <v>35</v>
      </c>
      <c r="C17" s="63" t="str">
        <f>T17</f>
        <v/>
      </c>
      <c r="D17" s="57"/>
      <c r="E17" s="49" t="s">
        <v>35</v>
      </c>
      <c r="F17" s="63" t="str">
        <f>W17</f>
        <v/>
      </c>
      <c r="G17" s="57"/>
      <c r="H17" s="49" t="s">
        <v>35</v>
      </c>
      <c r="I17" s="63" t="str">
        <f>Z17</f>
        <v/>
      </c>
      <c r="J17" s="57"/>
      <c r="K17" s="49" t="s">
        <v>35</v>
      </c>
      <c r="L17" s="63" t="str">
        <f>AC17</f>
        <v/>
      </c>
      <c r="M17" s="57"/>
      <c r="N17" s="49" t="s">
        <v>35</v>
      </c>
      <c r="O17" s="63" t="str">
        <f>AF17</f>
        <v/>
      </c>
      <c r="R17" s="52" t="str">
        <f t="shared" si="1"/>
        <v/>
      </c>
      <c r="S17" s="49" t="s">
        <v>35</v>
      </c>
      <c r="T17" s="70" t="str">
        <f>IF(T16="","","*"&amp;T16&amp;"*")</f>
        <v/>
      </c>
      <c r="U17" s="66"/>
      <c r="V17" s="49" t="s">
        <v>35</v>
      </c>
      <c r="W17" s="70" t="str">
        <f>IF(W16="","","*"&amp;W16&amp;"*")</f>
        <v/>
      </c>
      <c r="X17" s="66"/>
      <c r="Y17" s="49" t="s">
        <v>35</v>
      </c>
      <c r="Z17" s="70" t="str">
        <f>IF(Z16="","","*"&amp;Z16&amp;"*")</f>
        <v/>
      </c>
      <c r="AA17" s="66"/>
      <c r="AB17" s="49" t="s">
        <v>35</v>
      </c>
      <c r="AC17" s="70" t="str">
        <f>IF(AC16="","","*"&amp;AC16&amp;"*")</f>
        <v/>
      </c>
      <c r="AD17" s="66"/>
      <c r="AE17" s="49" t="s">
        <v>35</v>
      </c>
      <c r="AF17" s="70" t="str">
        <f>IF(AF16="","","*"&amp;AF16&amp;"*")</f>
        <v/>
      </c>
    </row>
    <row r="18" spans="1:32" ht="54.95" customHeight="1" x14ac:dyDescent="0.15">
      <c r="A18" s="71"/>
      <c r="B18" s="72" t="s">
        <v>3</v>
      </c>
      <c r="C18" s="49"/>
      <c r="D18" s="71"/>
      <c r="E18" s="72" t="s">
        <v>3</v>
      </c>
      <c r="F18" s="49"/>
      <c r="G18" s="71"/>
      <c r="H18" s="72" t="s">
        <v>3</v>
      </c>
      <c r="I18" s="49"/>
      <c r="J18" s="71"/>
      <c r="K18" s="72" t="s">
        <v>3</v>
      </c>
      <c r="L18" s="49"/>
      <c r="M18" s="71"/>
      <c r="N18" s="72" t="s">
        <v>3</v>
      </c>
      <c r="O18" s="49"/>
      <c r="P18" s="71"/>
      <c r="Q18" s="71"/>
      <c r="R18" s="73">
        <v>1</v>
      </c>
      <c r="S18" s="72" t="s">
        <v>3</v>
      </c>
      <c r="T18" s="75"/>
      <c r="U18" s="74"/>
      <c r="V18" s="72" t="s">
        <v>3</v>
      </c>
      <c r="W18" s="75"/>
      <c r="X18" s="74"/>
      <c r="Y18" s="72" t="s">
        <v>3</v>
      </c>
      <c r="Z18" s="75"/>
      <c r="AA18" s="74"/>
      <c r="AB18" s="72" t="s">
        <v>3</v>
      </c>
      <c r="AC18" s="75"/>
      <c r="AD18" s="74"/>
      <c r="AE18" s="72" t="s">
        <v>3</v>
      </c>
      <c r="AF18" s="75"/>
    </row>
    <row r="19" spans="1:32" ht="20.100000000000001" customHeight="1" x14ac:dyDescent="0.15">
      <c r="B19" s="49" t="s">
        <v>4</v>
      </c>
      <c r="C19" s="76" t="str">
        <f>'CAPACITOR-10-50pF'!C17</f>
        <v/>
      </c>
      <c r="E19" s="49" t="s">
        <v>4</v>
      </c>
      <c r="F19" s="76" t="str">
        <f>'CAPACITOR-10-50pF'!F17</f>
        <v/>
      </c>
      <c r="H19" s="49" t="s">
        <v>4</v>
      </c>
      <c r="I19" s="76" t="str">
        <f>'CAPACITOR-10-50pF'!I17</f>
        <v/>
      </c>
      <c r="K19" s="49" t="s">
        <v>4</v>
      </c>
      <c r="L19" s="76" t="str">
        <f>'CAPACITOR-10-50pF'!L17</f>
        <v/>
      </c>
      <c r="N19" s="49" t="s">
        <v>4</v>
      </c>
      <c r="O19" s="76" t="str">
        <f>'CAPACITOR-10-50pF'!O17</f>
        <v/>
      </c>
      <c r="R19" s="52">
        <v>1</v>
      </c>
      <c r="S19" s="49" t="s">
        <v>4</v>
      </c>
      <c r="T19" s="77" t="str">
        <f>IF(C19="","",C19)</f>
        <v/>
      </c>
      <c r="U19" s="54"/>
      <c r="V19" s="49" t="s">
        <v>4</v>
      </c>
      <c r="W19" s="77" t="str">
        <f>IF(F19="","",F19)</f>
        <v/>
      </c>
      <c r="X19" s="55"/>
      <c r="Y19" s="49" t="s">
        <v>4</v>
      </c>
      <c r="Z19" s="77" t="str">
        <f>IF(I19="","",I19)</f>
        <v/>
      </c>
      <c r="AA19" s="55"/>
      <c r="AB19" s="49" t="s">
        <v>4</v>
      </c>
      <c r="AC19" s="77" t="str">
        <f>IF(L19="","",L19)</f>
        <v/>
      </c>
      <c r="AD19" s="55"/>
      <c r="AE19" s="49" t="s">
        <v>4</v>
      </c>
      <c r="AF19" s="77" t="str">
        <f>IF(O19="","",O19)</f>
        <v/>
      </c>
    </row>
    <row r="20" spans="1:32" ht="20.100000000000001" customHeight="1" x14ac:dyDescent="0.15">
      <c r="B20" s="98">
        <v>6</v>
      </c>
      <c r="C20" s="99"/>
      <c r="D20" s="78">
        <v>1</v>
      </c>
      <c r="E20" s="98">
        <v>7</v>
      </c>
      <c r="F20" s="99"/>
      <c r="G20" s="78">
        <v>2</v>
      </c>
      <c r="H20" s="98">
        <v>8</v>
      </c>
      <c r="I20" s="99"/>
      <c r="J20" s="78">
        <v>2</v>
      </c>
      <c r="K20" s="98">
        <v>9</v>
      </c>
      <c r="L20" s="99"/>
      <c r="M20" s="78">
        <v>2</v>
      </c>
      <c r="N20" s="98">
        <v>10</v>
      </c>
      <c r="O20" s="99"/>
      <c r="R20" s="52" t="str">
        <f>IF(S20=1,"1","")</f>
        <v/>
      </c>
      <c r="S20" s="92">
        <f>B20</f>
        <v>6</v>
      </c>
      <c r="T20" s="93"/>
      <c r="U20" s="78">
        <v>1</v>
      </c>
      <c r="V20" s="92">
        <f>E20</f>
        <v>7</v>
      </c>
      <c r="W20" s="93"/>
      <c r="X20" s="78">
        <v>2</v>
      </c>
      <c r="Y20" s="92">
        <f>H20</f>
        <v>8</v>
      </c>
      <c r="Z20" s="93"/>
      <c r="AA20" s="78">
        <v>2</v>
      </c>
      <c r="AB20" s="92">
        <f>K20</f>
        <v>9</v>
      </c>
      <c r="AC20" s="93"/>
      <c r="AD20" s="78">
        <v>2</v>
      </c>
      <c r="AE20" s="92">
        <f>N20</f>
        <v>10</v>
      </c>
      <c r="AF20" s="93"/>
    </row>
    <row r="21" spans="1:32" ht="6.75" customHeight="1" x14ac:dyDescent="0.15">
      <c r="B21" s="79"/>
      <c r="C21" s="80"/>
      <c r="D21" s="78"/>
      <c r="E21" s="79"/>
      <c r="F21" s="80"/>
      <c r="G21" s="78"/>
      <c r="H21" s="79"/>
      <c r="I21" s="80"/>
      <c r="J21" s="78"/>
      <c r="K21" s="79"/>
      <c r="L21" s="80"/>
      <c r="M21" s="78"/>
      <c r="N21" s="79"/>
      <c r="O21" s="80"/>
      <c r="R21" s="52"/>
      <c r="S21" s="81"/>
      <c r="T21" s="82"/>
      <c r="U21" s="78"/>
      <c r="V21" s="81"/>
      <c r="W21" s="82"/>
      <c r="X21" s="78"/>
      <c r="Y21" s="81"/>
      <c r="Z21" s="82"/>
      <c r="AA21" s="78"/>
      <c r="AB21" s="81"/>
      <c r="AC21" s="82"/>
      <c r="AD21" s="78"/>
      <c r="AE21" s="81"/>
      <c r="AF21" s="82"/>
    </row>
    <row r="22" spans="1:32" ht="19.5" customHeight="1" x14ac:dyDescent="0.15">
      <c r="B22" s="94" t="str">
        <f>'CAPACITOR-10-50pF'!B19</f>
        <v xml:space="preserve">C  STD  </v>
      </c>
      <c r="C22" s="102"/>
      <c r="E22" s="94" t="str">
        <f>'CAPACITOR-10-50pF'!E19</f>
        <v xml:space="preserve">C  STD  </v>
      </c>
      <c r="F22" s="102"/>
      <c r="H22" s="94" t="str">
        <f>'CAPACITOR-10-50pF'!H19</f>
        <v xml:space="preserve">C  STD  </v>
      </c>
      <c r="I22" s="102"/>
      <c r="K22" s="94" t="str">
        <f>'CAPACITOR-10-50pF'!K19</f>
        <v xml:space="preserve">C  STD  </v>
      </c>
      <c r="L22" s="102"/>
      <c r="N22" s="94" t="str">
        <f>'CAPACITOR-10-50pF'!N19</f>
        <v xml:space="preserve">C  STD  </v>
      </c>
      <c r="O22" s="102"/>
      <c r="Q22" s="51"/>
      <c r="R22" s="41">
        <v>1</v>
      </c>
      <c r="S22" s="100" t="str">
        <f>B22</f>
        <v xml:space="preserve">C  STD  </v>
      </c>
      <c r="T22" s="101"/>
      <c r="U22" s="46"/>
      <c r="V22" s="100" t="str">
        <f>E22</f>
        <v xml:space="preserve">C  STD  </v>
      </c>
      <c r="W22" s="101"/>
      <c r="X22" s="46"/>
      <c r="Y22" s="100" t="str">
        <f>H22</f>
        <v xml:space="preserve">C  STD  </v>
      </c>
      <c r="Z22" s="101"/>
      <c r="AA22" s="46"/>
      <c r="AB22" s="100" t="str">
        <f>K22</f>
        <v xml:space="preserve">C  STD  </v>
      </c>
      <c r="AC22" s="101"/>
      <c r="AD22" s="46"/>
      <c r="AE22" s="100" t="str">
        <f>N22</f>
        <v xml:space="preserve">C  STD  </v>
      </c>
      <c r="AF22" s="101"/>
    </row>
    <row r="23" spans="1:32" ht="19.5" customHeight="1" x14ac:dyDescent="0.15">
      <c r="B23" s="49" t="s">
        <v>0</v>
      </c>
      <c r="C23" s="50" t="str">
        <f>IF('CAPACITOR-10-50pF'!C20="","",'CAPACITOR-10-50pF'!C20)</f>
        <v/>
      </c>
      <c r="E23" s="49" t="s">
        <v>0</v>
      </c>
      <c r="F23" s="50" t="str">
        <f>IF('CAPACITOR-10-50pF'!F20="","",'CAPACITOR-10-50pF'!F20)</f>
        <v/>
      </c>
      <c r="H23" s="49" t="s">
        <v>0</v>
      </c>
      <c r="I23" s="50" t="str">
        <f>IF('CAPACITOR-10-50pF'!I20="","",'CAPACITOR-10-50pF'!I20)</f>
        <v/>
      </c>
      <c r="K23" s="49" t="s">
        <v>0</v>
      </c>
      <c r="L23" s="50" t="str">
        <f>IF('CAPACITOR-10-50pF'!L20="","",'CAPACITOR-10-50pF'!L20)</f>
        <v/>
      </c>
      <c r="N23" s="49" t="s">
        <v>0</v>
      </c>
      <c r="O23" s="50" t="str">
        <f>IF('CAPACITOR-10-50pF'!O20="","",'CAPACITOR-10-50pF'!O20)</f>
        <v/>
      </c>
      <c r="Q23" s="51"/>
      <c r="R23" s="52" t="str">
        <f>IF(T23&lt;&gt;"","1","")</f>
        <v/>
      </c>
      <c r="S23" s="49" t="s">
        <v>0</v>
      </c>
      <c r="T23" s="53" t="str">
        <f>C23</f>
        <v/>
      </c>
      <c r="U23" s="54"/>
      <c r="V23" s="49" t="s">
        <v>0</v>
      </c>
      <c r="W23" s="53" t="str">
        <f>F23</f>
        <v/>
      </c>
      <c r="X23" s="55"/>
      <c r="Y23" s="49" t="s">
        <v>0</v>
      </c>
      <c r="Z23" s="53" t="str">
        <f>I23</f>
        <v/>
      </c>
      <c r="AA23" s="55"/>
      <c r="AB23" s="49" t="s">
        <v>0</v>
      </c>
      <c r="AC23" s="53" t="str">
        <f>L23</f>
        <v/>
      </c>
      <c r="AD23" s="55"/>
      <c r="AE23" s="49" t="s">
        <v>0</v>
      </c>
      <c r="AF23" s="53" t="str">
        <f>O23</f>
        <v/>
      </c>
    </row>
    <row r="24" spans="1:32" ht="19.5" customHeight="1" x14ac:dyDescent="0.15">
      <c r="B24" s="49" t="s">
        <v>1</v>
      </c>
      <c r="C24" s="56" t="str">
        <f>IF('CAPACITOR-10-50pF'!C21="","",'CAPACITOR-10-50pF'!C21)</f>
        <v/>
      </c>
      <c r="D24" s="57"/>
      <c r="E24" s="49" t="s">
        <v>1</v>
      </c>
      <c r="F24" s="56" t="str">
        <f>IF('CAPACITOR-10-50pF'!F21="","",'CAPACITOR-10-50pF'!F21)</f>
        <v/>
      </c>
      <c r="G24" s="57"/>
      <c r="H24" s="49" t="s">
        <v>1</v>
      </c>
      <c r="I24" s="56" t="str">
        <f>IF('CAPACITOR-10-50pF'!I21="","",'CAPACITOR-10-50pF'!I21)</f>
        <v/>
      </c>
      <c r="J24" s="57"/>
      <c r="K24" s="49" t="s">
        <v>1</v>
      </c>
      <c r="L24" s="56" t="str">
        <f>IF('CAPACITOR-10-50pF'!L21="","",'CAPACITOR-10-50pF'!L21)</f>
        <v/>
      </c>
      <c r="M24" s="57"/>
      <c r="N24" s="49" t="s">
        <v>1</v>
      </c>
      <c r="O24" s="56" t="str">
        <f>IF('CAPACITOR-10-50pF'!O21="","",'CAPACITOR-10-50pF'!O21)</f>
        <v/>
      </c>
      <c r="Q24" s="58"/>
      <c r="R24" s="52" t="str">
        <f t="shared" ref="R24:R27" si="2">IF(T24&lt;&gt;"","1","")</f>
        <v/>
      </c>
      <c r="S24" s="49" t="s">
        <v>1</v>
      </c>
      <c r="T24" s="59" t="str">
        <f>IF(C24="","",ROUNDDOWN(C24,4))</f>
        <v/>
      </c>
      <c r="U24" s="60"/>
      <c r="V24" s="49" t="s">
        <v>1</v>
      </c>
      <c r="W24" s="59" t="str">
        <f>IF(F24="","",ROUNDDOWN(F24,4))</f>
        <v/>
      </c>
      <c r="X24" s="61"/>
      <c r="Y24" s="49" t="s">
        <v>1</v>
      </c>
      <c r="Z24" s="59" t="str">
        <f>IF(I24="","",ROUNDDOWN(I24,4))</f>
        <v/>
      </c>
      <c r="AA24" s="62"/>
      <c r="AB24" s="49" t="s">
        <v>1</v>
      </c>
      <c r="AC24" s="59" t="str">
        <f>IF(L24="","",ROUNDDOWN(L24,4))</f>
        <v/>
      </c>
      <c r="AD24" s="62"/>
      <c r="AE24" s="49" t="s">
        <v>1</v>
      </c>
      <c r="AF24" s="59" t="str">
        <f>IF(O24="","",ROUNDDOWN(O24,4))</f>
        <v/>
      </c>
    </row>
    <row r="25" spans="1:32" ht="27" customHeight="1" x14ac:dyDescent="0.15">
      <c r="B25" s="49" t="s">
        <v>34</v>
      </c>
      <c r="C25" s="63" t="str">
        <f>T25</f>
        <v/>
      </c>
      <c r="D25" s="57"/>
      <c r="E25" s="49" t="s">
        <v>34</v>
      </c>
      <c r="F25" s="63" t="str">
        <f>W25</f>
        <v/>
      </c>
      <c r="G25" s="57"/>
      <c r="H25" s="49" t="s">
        <v>34</v>
      </c>
      <c r="I25" s="63" t="str">
        <f>Z25</f>
        <v/>
      </c>
      <c r="J25" s="57"/>
      <c r="K25" s="49" t="s">
        <v>34</v>
      </c>
      <c r="L25" s="63" t="str">
        <f>AC25</f>
        <v/>
      </c>
      <c r="M25" s="57"/>
      <c r="N25" s="49" t="s">
        <v>34</v>
      </c>
      <c r="O25" s="63" t="str">
        <f>AF25</f>
        <v/>
      </c>
      <c r="R25" s="52" t="str">
        <f t="shared" si="2"/>
        <v/>
      </c>
      <c r="S25" s="64" t="s">
        <v>34</v>
      </c>
      <c r="T25" s="65" t="str">
        <f>IF(T24="","","*"&amp;T24&amp;"*")</f>
        <v/>
      </c>
      <c r="U25" s="66"/>
      <c r="V25" s="64" t="s">
        <v>34</v>
      </c>
      <c r="W25" s="65" t="str">
        <f>IF(W24="","","*"&amp;W24&amp;"*")</f>
        <v/>
      </c>
      <c r="X25" s="66"/>
      <c r="Y25" s="64" t="s">
        <v>34</v>
      </c>
      <c r="Z25" s="65" t="str">
        <f>IF(Z24="","","*"&amp;Z24&amp;"*")</f>
        <v/>
      </c>
      <c r="AA25" s="66"/>
      <c r="AB25" s="64" t="s">
        <v>34</v>
      </c>
      <c r="AC25" s="65" t="str">
        <f>IF(AC24="","","*"&amp;AC24&amp;"*")</f>
        <v/>
      </c>
      <c r="AD25" s="66"/>
      <c r="AE25" s="64" t="s">
        <v>34</v>
      </c>
      <c r="AF25" s="65" t="str">
        <f>IF(AF24="","","*"&amp;AF24&amp;"*")</f>
        <v/>
      </c>
    </row>
    <row r="26" spans="1:32" ht="20.100000000000001" customHeight="1" x14ac:dyDescent="0.15">
      <c r="B26" s="49" t="s">
        <v>2</v>
      </c>
      <c r="C26" s="67" t="str">
        <f>IF('CAPACITOR-10-50pF'!C22="","",'CAPACITOR-10-50pF'!C22)</f>
        <v/>
      </c>
      <c r="D26" s="57"/>
      <c r="E26" s="49" t="s">
        <v>2</v>
      </c>
      <c r="F26" s="67" t="str">
        <f>IF('CAPACITOR-10-50pF'!F22="","",'CAPACITOR-10-50pF'!F22)</f>
        <v/>
      </c>
      <c r="G26" s="57"/>
      <c r="H26" s="49" t="s">
        <v>2</v>
      </c>
      <c r="I26" s="67" t="str">
        <f>IF('CAPACITOR-10-50pF'!I22="","",'CAPACITOR-10-50pF'!I22)</f>
        <v/>
      </c>
      <c r="J26" s="57"/>
      <c r="K26" s="49" t="s">
        <v>2</v>
      </c>
      <c r="L26" s="67" t="str">
        <f>IF('CAPACITOR-10-50pF'!L22="","",'CAPACITOR-10-50pF'!L22)</f>
        <v/>
      </c>
      <c r="M26" s="57"/>
      <c r="N26" s="49" t="s">
        <v>2</v>
      </c>
      <c r="O26" s="67" t="str">
        <f>IF('CAPACITOR-10-50pF'!O22="","",'CAPACITOR-10-50pF'!O22)</f>
        <v/>
      </c>
      <c r="Q26" s="68"/>
      <c r="R26" s="52" t="str">
        <f t="shared" si="2"/>
        <v/>
      </c>
      <c r="S26" s="49" t="s">
        <v>2</v>
      </c>
      <c r="T26" s="69" t="str">
        <f>IF(C26="","",ROUNDDOWN((C26*100),4))</f>
        <v/>
      </c>
      <c r="U26" s="66"/>
      <c r="V26" s="49" t="s">
        <v>2</v>
      </c>
      <c r="W26" s="69" t="str">
        <f>IF(F26="","",ROUNDDOWN((F26*100),4))</f>
        <v/>
      </c>
      <c r="X26" s="66"/>
      <c r="Y26" s="49" t="s">
        <v>2</v>
      </c>
      <c r="Z26" s="69" t="str">
        <f>IF(I26="","",ROUNDDOWN((I26*100),4))</f>
        <v/>
      </c>
      <c r="AA26" s="66"/>
      <c r="AB26" s="49" t="s">
        <v>2</v>
      </c>
      <c r="AC26" s="69" t="str">
        <f>IF(L26="","",ROUNDDOWN((L26*100),4))</f>
        <v/>
      </c>
      <c r="AD26" s="66"/>
      <c r="AE26" s="49" t="s">
        <v>2</v>
      </c>
      <c r="AF26" s="69" t="str">
        <f>IF(O26="","",ROUNDDOWN((O26*100),4))</f>
        <v/>
      </c>
    </row>
    <row r="27" spans="1:32" ht="27" customHeight="1" x14ac:dyDescent="0.15">
      <c r="B27" s="49" t="s">
        <v>35</v>
      </c>
      <c r="C27" s="63" t="str">
        <f>T27</f>
        <v/>
      </c>
      <c r="D27" s="57"/>
      <c r="E27" s="49" t="s">
        <v>35</v>
      </c>
      <c r="F27" s="63" t="str">
        <f>W27</f>
        <v/>
      </c>
      <c r="G27" s="57"/>
      <c r="H27" s="49" t="s">
        <v>35</v>
      </c>
      <c r="I27" s="63" t="str">
        <f>Z27</f>
        <v/>
      </c>
      <c r="J27" s="57"/>
      <c r="K27" s="49" t="s">
        <v>35</v>
      </c>
      <c r="L27" s="63" t="str">
        <f>AC27</f>
        <v/>
      </c>
      <c r="M27" s="57"/>
      <c r="N27" s="49" t="s">
        <v>35</v>
      </c>
      <c r="O27" s="63" t="str">
        <f>AF27</f>
        <v/>
      </c>
      <c r="R27" s="52" t="str">
        <f t="shared" si="2"/>
        <v/>
      </c>
      <c r="S27" s="49" t="s">
        <v>35</v>
      </c>
      <c r="T27" s="70" t="str">
        <f>IF(T26="","","*"&amp;T26&amp;"*")</f>
        <v/>
      </c>
      <c r="U27" s="66"/>
      <c r="V27" s="49" t="s">
        <v>35</v>
      </c>
      <c r="W27" s="70" t="str">
        <f>IF(W26="","","*"&amp;W26&amp;"*")</f>
        <v/>
      </c>
      <c r="X27" s="66"/>
      <c r="Y27" s="49" t="s">
        <v>35</v>
      </c>
      <c r="Z27" s="70" t="str">
        <f>IF(Z26="","","*"&amp;Z26&amp;"*")</f>
        <v/>
      </c>
      <c r="AA27" s="66"/>
      <c r="AB27" s="49" t="s">
        <v>35</v>
      </c>
      <c r="AC27" s="70" t="str">
        <f>IF(AC26="","","*"&amp;AC26&amp;"*")</f>
        <v/>
      </c>
      <c r="AD27" s="66"/>
      <c r="AE27" s="49" t="s">
        <v>35</v>
      </c>
      <c r="AF27" s="70" t="str">
        <f>IF(AF26="","","*"&amp;AF26&amp;"*")</f>
        <v/>
      </c>
    </row>
    <row r="28" spans="1:32" ht="54.95" customHeight="1" x14ac:dyDescent="0.15">
      <c r="A28" s="71"/>
      <c r="B28" s="72" t="s">
        <v>3</v>
      </c>
      <c r="C28" s="49"/>
      <c r="D28" s="71"/>
      <c r="E28" s="72" t="s">
        <v>3</v>
      </c>
      <c r="F28" s="49"/>
      <c r="G28" s="71"/>
      <c r="H28" s="72" t="s">
        <v>3</v>
      </c>
      <c r="I28" s="49"/>
      <c r="J28" s="71"/>
      <c r="K28" s="72" t="s">
        <v>3</v>
      </c>
      <c r="L28" s="49"/>
      <c r="M28" s="71"/>
      <c r="N28" s="72" t="s">
        <v>3</v>
      </c>
      <c r="O28" s="49"/>
      <c r="P28" s="71"/>
      <c r="Q28" s="71"/>
      <c r="R28" s="73">
        <v>1</v>
      </c>
      <c r="S28" s="72" t="s">
        <v>3</v>
      </c>
      <c r="T28" s="75"/>
      <c r="U28" s="74"/>
      <c r="V28" s="72" t="s">
        <v>3</v>
      </c>
      <c r="W28" s="75"/>
      <c r="X28" s="74"/>
      <c r="Y28" s="72" t="s">
        <v>3</v>
      </c>
      <c r="Z28" s="75"/>
      <c r="AA28" s="74"/>
      <c r="AB28" s="72" t="s">
        <v>3</v>
      </c>
      <c r="AC28" s="75"/>
      <c r="AD28" s="74"/>
      <c r="AE28" s="72" t="s">
        <v>3</v>
      </c>
      <c r="AF28" s="75"/>
    </row>
    <row r="29" spans="1:32" ht="20.100000000000001" customHeight="1" x14ac:dyDescent="0.15">
      <c r="B29" s="49" t="s">
        <v>4</v>
      </c>
      <c r="C29" s="76" t="str">
        <f>'CAPACITOR-10-50pF'!C24</f>
        <v/>
      </c>
      <c r="E29" s="49" t="s">
        <v>4</v>
      </c>
      <c r="F29" s="76" t="str">
        <f>'CAPACITOR-10-50pF'!F24</f>
        <v/>
      </c>
      <c r="H29" s="49" t="s">
        <v>4</v>
      </c>
      <c r="I29" s="76" t="str">
        <f>'CAPACITOR-10-50pF'!I24</f>
        <v/>
      </c>
      <c r="K29" s="49" t="s">
        <v>4</v>
      </c>
      <c r="L29" s="76" t="str">
        <f>'CAPACITOR-10-50pF'!L24</f>
        <v/>
      </c>
      <c r="N29" s="49" t="s">
        <v>4</v>
      </c>
      <c r="O29" s="76" t="str">
        <f>'CAPACITOR-10-50pF'!O24</f>
        <v/>
      </c>
      <c r="R29" s="52">
        <v>1</v>
      </c>
      <c r="S29" s="49" t="s">
        <v>4</v>
      </c>
      <c r="T29" s="77" t="str">
        <f>IF(C29="","",C29)</f>
        <v/>
      </c>
      <c r="U29" s="54"/>
      <c r="V29" s="49" t="s">
        <v>4</v>
      </c>
      <c r="W29" s="77" t="str">
        <f>IF(F29="","",F29)</f>
        <v/>
      </c>
      <c r="X29" s="55"/>
      <c r="Y29" s="49" t="s">
        <v>4</v>
      </c>
      <c r="Z29" s="77" t="str">
        <f>IF(I29="","",I29)</f>
        <v/>
      </c>
      <c r="AA29" s="55"/>
      <c r="AB29" s="49" t="s">
        <v>4</v>
      </c>
      <c r="AC29" s="77" t="str">
        <f>IF(L29="","",L29)</f>
        <v/>
      </c>
      <c r="AD29" s="55"/>
      <c r="AE29" s="49" t="s">
        <v>4</v>
      </c>
      <c r="AF29" s="77" t="str">
        <f>IF(O29="","",O29)</f>
        <v/>
      </c>
    </row>
    <row r="30" spans="1:32" ht="20.100000000000001" customHeight="1" x14ac:dyDescent="0.15">
      <c r="B30" s="98">
        <v>11</v>
      </c>
      <c r="C30" s="99"/>
      <c r="D30" s="78">
        <v>1</v>
      </c>
      <c r="E30" s="98">
        <v>12</v>
      </c>
      <c r="F30" s="99"/>
      <c r="G30" s="78">
        <v>2</v>
      </c>
      <c r="H30" s="98">
        <v>13</v>
      </c>
      <c r="I30" s="99"/>
      <c r="J30" s="78">
        <v>2</v>
      </c>
      <c r="K30" s="98">
        <v>14</v>
      </c>
      <c r="L30" s="99"/>
      <c r="M30" s="78">
        <v>2</v>
      </c>
      <c r="N30" s="98">
        <v>15</v>
      </c>
      <c r="O30" s="99"/>
      <c r="R30" s="52" t="str">
        <f>IF(S30=1,"1","")</f>
        <v/>
      </c>
      <c r="S30" s="92">
        <f>B30</f>
        <v>11</v>
      </c>
      <c r="T30" s="93"/>
      <c r="U30" s="78">
        <v>1</v>
      </c>
      <c r="V30" s="92">
        <f>E30</f>
        <v>12</v>
      </c>
      <c r="W30" s="93"/>
      <c r="X30" s="78">
        <v>2</v>
      </c>
      <c r="Y30" s="92">
        <f>H30</f>
        <v>13</v>
      </c>
      <c r="Z30" s="93"/>
      <c r="AA30" s="78">
        <v>2</v>
      </c>
      <c r="AB30" s="92">
        <f>K30</f>
        <v>14</v>
      </c>
      <c r="AC30" s="93"/>
      <c r="AD30" s="78">
        <v>2</v>
      </c>
      <c r="AE30" s="92">
        <f>N30</f>
        <v>15</v>
      </c>
      <c r="AF30" s="93"/>
    </row>
    <row r="31" spans="1:32" ht="6.75" customHeight="1" x14ac:dyDescent="0.15">
      <c r="B31" s="79"/>
      <c r="C31" s="80"/>
      <c r="D31" s="78"/>
      <c r="E31" s="79"/>
      <c r="F31" s="80"/>
      <c r="G31" s="78"/>
      <c r="H31" s="79"/>
      <c r="I31" s="80"/>
      <c r="J31" s="78"/>
      <c r="K31" s="79"/>
      <c r="L31" s="80"/>
      <c r="M31" s="78"/>
      <c r="N31" s="79"/>
      <c r="O31" s="80"/>
      <c r="R31" s="52"/>
      <c r="S31" s="81"/>
      <c r="T31" s="82"/>
      <c r="U31" s="78"/>
      <c r="V31" s="81"/>
      <c r="W31" s="82"/>
      <c r="X31" s="78"/>
      <c r="Y31" s="81"/>
      <c r="Z31" s="82"/>
      <c r="AA31" s="78"/>
      <c r="AB31" s="81"/>
      <c r="AC31" s="82"/>
      <c r="AD31" s="78"/>
      <c r="AE31" s="81"/>
      <c r="AF31" s="82"/>
    </row>
    <row r="32" spans="1:32" ht="19.5" customHeight="1" x14ac:dyDescent="0.15">
      <c r="B32" s="94" t="str">
        <f>'CAPACITOR-10-50pF'!B26</f>
        <v xml:space="preserve">C  STD  </v>
      </c>
      <c r="C32" s="102"/>
      <c r="E32" s="94" t="str">
        <f>'CAPACITOR-10-50pF'!E26</f>
        <v xml:space="preserve">C  STD  </v>
      </c>
      <c r="F32" s="102"/>
      <c r="H32" s="94" t="str">
        <f>'CAPACITOR-10-50pF'!H26</f>
        <v xml:space="preserve">C  STD  </v>
      </c>
      <c r="I32" s="102"/>
      <c r="K32" s="94" t="str">
        <f>'CAPACITOR-10-50pF'!K26</f>
        <v xml:space="preserve">C  STD  </v>
      </c>
      <c r="L32" s="102"/>
      <c r="N32" s="94" t="str">
        <f>'CAPACITOR-10-50pF'!N26</f>
        <v xml:space="preserve">C  STD  </v>
      </c>
      <c r="O32" s="102"/>
      <c r="Q32" s="51"/>
      <c r="R32" s="41">
        <v>1</v>
      </c>
      <c r="S32" s="100" t="str">
        <f>B32</f>
        <v xml:space="preserve">C  STD  </v>
      </c>
      <c r="T32" s="101"/>
      <c r="U32" s="46"/>
      <c r="V32" s="100" t="str">
        <f>E32</f>
        <v xml:space="preserve">C  STD  </v>
      </c>
      <c r="W32" s="101"/>
      <c r="X32" s="46"/>
      <c r="Y32" s="100" t="str">
        <f>H32</f>
        <v xml:space="preserve">C  STD  </v>
      </c>
      <c r="Z32" s="101"/>
      <c r="AA32" s="46"/>
      <c r="AB32" s="100" t="str">
        <f>K32</f>
        <v xml:space="preserve">C  STD  </v>
      </c>
      <c r="AC32" s="101"/>
      <c r="AD32" s="46"/>
      <c r="AE32" s="100" t="str">
        <f>N32</f>
        <v xml:space="preserve">C  STD  </v>
      </c>
      <c r="AF32" s="101"/>
    </row>
    <row r="33" spans="1:32" ht="19.5" customHeight="1" x14ac:dyDescent="0.15">
      <c r="B33" s="49" t="s">
        <v>0</v>
      </c>
      <c r="C33" s="50" t="str">
        <f>IF('CAPACITOR-10-50pF'!C27="","",'CAPACITOR-10-50pF'!C27)</f>
        <v/>
      </c>
      <c r="E33" s="49" t="s">
        <v>0</v>
      </c>
      <c r="F33" s="50" t="str">
        <f>IF('CAPACITOR-10-50pF'!F27="","",'CAPACITOR-10-50pF'!F27)</f>
        <v/>
      </c>
      <c r="H33" s="49" t="s">
        <v>0</v>
      </c>
      <c r="I33" s="50" t="str">
        <f>IF('CAPACITOR-10-50pF'!I27="","",'CAPACITOR-10-50pF'!I27)</f>
        <v/>
      </c>
      <c r="K33" s="49" t="s">
        <v>0</v>
      </c>
      <c r="L33" s="50" t="str">
        <f>IF('CAPACITOR-10-50pF'!L27="","",'CAPACITOR-10-50pF'!L27)</f>
        <v/>
      </c>
      <c r="N33" s="49" t="s">
        <v>0</v>
      </c>
      <c r="O33" s="50" t="str">
        <f>IF('CAPACITOR-10-50pF'!O27="","",'CAPACITOR-10-50pF'!O27)</f>
        <v/>
      </c>
      <c r="Q33" s="51"/>
      <c r="R33" s="52" t="str">
        <f>IF(T33&lt;&gt;"","1","")</f>
        <v/>
      </c>
      <c r="S33" s="49" t="s">
        <v>0</v>
      </c>
      <c r="T33" s="53" t="str">
        <f>C33</f>
        <v/>
      </c>
      <c r="U33" s="54"/>
      <c r="V33" s="49" t="s">
        <v>0</v>
      </c>
      <c r="W33" s="53" t="str">
        <f>F33</f>
        <v/>
      </c>
      <c r="X33" s="55"/>
      <c r="Y33" s="49" t="s">
        <v>0</v>
      </c>
      <c r="Z33" s="53" t="str">
        <f>I33</f>
        <v/>
      </c>
      <c r="AA33" s="55"/>
      <c r="AB33" s="49" t="s">
        <v>0</v>
      </c>
      <c r="AC33" s="53" t="str">
        <f>L33</f>
        <v/>
      </c>
      <c r="AD33" s="55"/>
      <c r="AE33" s="49" t="s">
        <v>0</v>
      </c>
      <c r="AF33" s="53" t="str">
        <f>O33</f>
        <v/>
      </c>
    </row>
    <row r="34" spans="1:32" ht="19.5" customHeight="1" x14ac:dyDescent="0.15">
      <c r="B34" s="49" t="s">
        <v>1</v>
      </c>
      <c r="C34" s="56" t="str">
        <f>IF('CAPACITOR-10-50pF'!C28="","",'CAPACITOR-10-50pF'!C28)</f>
        <v/>
      </c>
      <c r="D34" s="57"/>
      <c r="E34" s="49" t="s">
        <v>1</v>
      </c>
      <c r="F34" s="56" t="str">
        <f>IF('CAPACITOR-10-50pF'!F28="","",'CAPACITOR-10-50pF'!F28)</f>
        <v/>
      </c>
      <c r="G34" s="57"/>
      <c r="H34" s="49" t="s">
        <v>1</v>
      </c>
      <c r="I34" s="56" t="str">
        <f>IF('CAPACITOR-10-50pF'!I28="","",'CAPACITOR-10-50pF'!I28)</f>
        <v/>
      </c>
      <c r="J34" s="57"/>
      <c r="K34" s="49" t="s">
        <v>1</v>
      </c>
      <c r="L34" s="56" t="str">
        <f>IF('CAPACITOR-10-50pF'!L28="","",'CAPACITOR-10-50pF'!L28)</f>
        <v/>
      </c>
      <c r="M34" s="57"/>
      <c r="N34" s="49" t="s">
        <v>1</v>
      </c>
      <c r="O34" s="56" t="str">
        <f>IF('CAPACITOR-10-50pF'!O28="","",'CAPACITOR-10-50pF'!O28)</f>
        <v/>
      </c>
      <c r="Q34" s="58"/>
      <c r="R34" s="52" t="str">
        <f t="shared" ref="R34:R37" si="3">IF(T34&lt;&gt;"","1","")</f>
        <v/>
      </c>
      <c r="S34" s="49" t="s">
        <v>1</v>
      </c>
      <c r="T34" s="59" t="str">
        <f>IF(C34="","",ROUNDDOWN(C34,4))</f>
        <v/>
      </c>
      <c r="U34" s="60"/>
      <c r="V34" s="49" t="s">
        <v>1</v>
      </c>
      <c r="W34" s="59" t="str">
        <f>IF(F34="","",ROUNDDOWN(F34,4))</f>
        <v/>
      </c>
      <c r="X34" s="61"/>
      <c r="Y34" s="49" t="s">
        <v>1</v>
      </c>
      <c r="Z34" s="59" t="str">
        <f>IF(I34="","",ROUNDDOWN(I34,4))</f>
        <v/>
      </c>
      <c r="AA34" s="62"/>
      <c r="AB34" s="49" t="s">
        <v>1</v>
      </c>
      <c r="AC34" s="59" t="str">
        <f>IF(L34="","",ROUNDDOWN(L34,4))</f>
        <v/>
      </c>
      <c r="AD34" s="62"/>
      <c r="AE34" s="49" t="s">
        <v>1</v>
      </c>
      <c r="AF34" s="59" t="str">
        <f>IF(O34="","",ROUNDDOWN(O34,4))</f>
        <v/>
      </c>
    </row>
    <row r="35" spans="1:32" ht="27" customHeight="1" x14ac:dyDescent="0.15">
      <c r="B35" s="49" t="s">
        <v>34</v>
      </c>
      <c r="C35" s="63" t="str">
        <f>T35</f>
        <v/>
      </c>
      <c r="D35" s="57"/>
      <c r="E35" s="49" t="s">
        <v>34</v>
      </c>
      <c r="F35" s="63" t="str">
        <f>W35</f>
        <v/>
      </c>
      <c r="G35" s="57"/>
      <c r="H35" s="49" t="s">
        <v>34</v>
      </c>
      <c r="I35" s="63" t="str">
        <f>Z35</f>
        <v/>
      </c>
      <c r="J35" s="57"/>
      <c r="K35" s="49" t="s">
        <v>34</v>
      </c>
      <c r="L35" s="63" t="str">
        <f>AC35</f>
        <v/>
      </c>
      <c r="M35" s="57"/>
      <c r="N35" s="49" t="s">
        <v>34</v>
      </c>
      <c r="O35" s="63" t="str">
        <f>AF35</f>
        <v/>
      </c>
      <c r="R35" s="52" t="str">
        <f t="shared" si="3"/>
        <v/>
      </c>
      <c r="S35" s="64" t="s">
        <v>34</v>
      </c>
      <c r="T35" s="65" t="str">
        <f>IF(T34="","","*"&amp;T34&amp;"*")</f>
        <v/>
      </c>
      <c r="U35" s="66"/>
      <c r="V35" s="64" t="s">
        <v>34</v>
      </c>
      <c r="W35" s="65" t="str">
        <f>IF(W34="","","*"&amp;W34&amp;"*")</f>
        <v/>
      </c>
      <c r="X35" s="66"/>
      <c r="Y35" s="64" t="s">
        <v>34</v>
      </c>
      <c r="Z35" s="65" t="str">
        <f>IF(Z34="","","*"&amp;Z34&amp;"*")</f>
        <v/>
      </c>
      <c r="AA35" s="66"/>
      <c r="AB35" s="64" t="s">
        <v>34</v>
      </c>
      <c r="AC35" s="65" t="str">
        <f>IF(AC34="","","*"&amp;AC34&amp;"*")</f>
        <v/>
      </c>
      <c r="AD35" s="66"/>
      <c r="AE35" s="64" t="s">
        <v>34</v>
      </c>
      <c r="AF35" s="65" t="str">
        <f>IF(AF34="","","*"&amp;AF34&amp;"*")</f>
        <v/>
      </c>
    </row>
    <row r="36" spans="1:32" ht="20.100000000000001" customHeight="1" x14ac:dyDescent="0.15">
      <c r="B36" s="49" t="s">
        <v>2</v>
      </c>
      <c r="C36" s="67" t="str">
        <f>IF('CAPACITOR-10-50pF'!C29="","",'CAPACITOR-10-50pF'!C29)</f>
        <v/>
      </c>
      <c r="D36" s="57"/>
      <c r="E36" s="49" t="s">
        <v>2</v>
      </c>
      <c r="F36" s="67" t="str">
        <f>IF('CAPACITOR-10-50pF'!F29="","",'CAPACITOR-10-50pF'!F29)</f>
        <v/>
      </c>
      <c r="G36" s="57"/>
      <c r="H36" s="49" t="s">
        <v>2</v>
      </c>
      <c r="I36" s="67" t="str">
        <f>IF('CAPACITOR-10-50pF'!I29="","",'CAPACITOR-10-50pF'!I29)</f>
        <v/>
      </c>
      <c r="J36" s="57"/>
      <c r="K36" s="49" t="s">
        <v>2</v>
      </c>
      <c r="L36" s="67" t="str">
        <f>IF('CAPACITOR-10-50pF'!L29="","",'CAPACITOR-10-50pF'!L29)</f>
        <v/>
      </c>
      <c r="M36" s="57"/>
      <c r="N36" s="49" t="s">
        <v>2</v>
      </c>
      <c r="O36" s="67" t="str">
        <f>IF('CAPACITOR-10-50pF'!O29="","",'CAPACITOR-10-50pF'!O29)</f>
        <v/>
      </c>
      <c r="Q36" s="68"/>
      <c r="R36" s="52" t="str">
        <f t="shared" si="3"/>
        <v/>
      </c>
      <c r="S36" s="49" t="s">
        <v>2</v>
      </c>
      <c r="T36" s="69" t="str">
        <f>IF(C36="","",ROUNDDOWN((C36*100),4))</f>
        <v/>
      </c>
      <c r="U36" s="66"/>
      <c r="V36" s="49" t="s">
        <v>2</v>
      </c>
      <c r="W36" s="69" t="str">
        <f>IF(F36="","",ROUNDDOWN((F36*100),4))</f>
        <v/>
      </c>
      <c r="X36" s="66"/>
      <c r="Y36" s="49" t="s">
        <v>2</v>
      </c>
      <c r="Z36" s="69" t="str">
        <f>IF(I36="","",ROUNDDOWN((I36*100),4))</f>
        <v/>
      </c>
      <c r="AA36" s="66"/>
      <c r="AB36" s="49" t="s">
        <v>2</v>
      </c>
      <c r="AC36" s="69" t="str">
        <f>IF(L36="","",ROUNDDOWN((L36*100),4))</f>
        <v/>
      </c>
      <c r="AD36" s="66"/>
      <c r="AE36" s="49" t="s">
        <v>2</v>
      </c>
      <c r="AF36" s="69" t="str">
        <f>IF(O36="","",ROUNDDOWN((O36*100),4))</f>
        <v/>
      </c>
    </row>
    <row r="37" spans="1:32" ht="27" customHeight="1" x14ac:dyDescent="0.15">
      <c r="B37" s="49" t="s">
        <v>35</v>
      </c>
      <c r="C37" s="63" t="str">
        <f>T37</f>
        <v/>
      </c>
      <c r="D37" s="57"/>
      <c r="E37" s="49" t="s">
        <v>35</v>
      </c>
      <c r="F37" s="63" t="str">
        <f>W37</f>
        <v/>
      </c>
      <c r="G37" s="57"/>
      <c r="H37" s="49" t="s">
        <v>35</v>
      </c>
      <c r="I37" s="63" t="str">
        <f>Z37</f>
        <v/>
      </c>
      <c r="J37" s="57"/>
      <c r="K37" s="49" t="s">
        <v>35</v>
      </c>
      <c r="L37" s="63" t="str">
        <f>AC37</f>
        <v/>
      </c>
      <c r="M37" s="57"/>
      <c r="N37" s="49" t="s">
        <v>35</v>
      </c>
      <c r="O37" s="63" t="str">
        <f>AF37</f>
        <v/>
      </c>
      <c r="R37" s="52" t="str">
        <f t="shared" si="3"/>
        <v/>
      </c>
      <c r="S37" s="49" t="s">
        <v>35</v>
      </c>
      <c r="T37" s="70" t="str">
        <f>IF(T36="","","*"&amp;T36&amp;"*")</f>
        <v/>
      </c>
      <c r="U37" s="66"/>
      <c r="V37" s="49" t="s">
        <v>35</v>
      </c>
      <c r="W37" s="70" t="str">
        <f>IF(W36="","","*"&amp;W36&amp;"*")</f>
        <v/>
      </c>
      <c r="X37" s="66"/>
      <c r="Y37" s="49" t="s">
        <v>35</v>
      </c>
      <c r="Z37" s="70" t="str">
        <f>IF(Z36="","","*"&amp;Z36&amp;"*")</f>
        <v/>
      </c>
      <c r="AA37" s="66"/>
      <c r="AB37" s="49" t="s">
        <v>35</v>
      </c>
      <c r="AC37" s="70" t="str">
        <f>IF(AC36="","","*"&amp;AC36&amp;"*")</f>
        <v/>
      </c>
      <c r="AD37" s="66"/>
      <c r="AE37" s="49" t="s">
        <v>35</v>
      </c>
      <c r="AF37" s="70" t="str">
        <f>IF(AF36="","","*"&amp;AF36&amp;"*")</f>
        <v/>
      </c>
    </row>
    <row r="38" spans="1:32" ht="54.95" customHeight="1" x14ac:dyDescent="0.15">
      <c r="A38" s="71"/>
      <c r="B38" s="72" t="s">
        <v>3</v>
      </c>
      <c r="C38" s="49"/>
      <c r="D38" s="71"/>
      <c r="E38" s="72" t="s">
        <v>3</v>
      </c>
      <c r="F38" s="49"/>
      <c r="G38" s="71"/>
      <c r="H38" s="72" t="s">
        <v>3</v>
      </c>
      <c r="I38" s="49"/>
      <c r="J38" s="71"/>
      <c r="K38" s="72" t="s">
        <v>3</v>
      </c>
      <c r="L38" s="49"/>
      <c r="M38" s="71"/>
      <c r="N38" s="72" t="s">
        <v>3</v>
      </c>
      <c r="O38" s="49"/>
      <c r="P38" s="71"/>
      <c r="Q38" s="71"/>
      <c r="R38" s="73">
        <v>1</v>
      </c>
      <c r="S38" s="72" t="s">
        <v>3</v>
      </c>
      <c r="T38" s="75"/>
      <c r="U38" s="74"/>
      <c r="V38" s="72" t="s">
        <v>3</v>
      </c>
      <c r="W38" s="75"/>
      <c r="X38" s="74"/>
      <c r="Y38" s="72" t="s">
        <v>3</v>
      </c>
      <c r="Z38" s="75"/>
      <c r="AA38" s="74"/>
      <c r="AB38" s="72" t="s">
        <v>3</v>
      </c>
      <c r="AC38" s="75"/>
      <c r="AD38" s="74"/>
      <c r="AE38" s="72" t="s">
        <v>3</v>
      </c>
      <c r="AF38" s="75"/>
    </row>
    <row r="39" spans="1:32" ht="20.100000000000001" customHeight="1" x14ac:dyDescent="0.15">
      <c r="B39" s="49" t="s">
        <v>4</v>
      </c>
      <c r="C39" s="76" t="str">
        <f>'CAPACITOR-10-50pF'!C31</f>
        <v/>
      </c>
      <c r="E39" s="49" t="s">
        <v>4</v>
      </c>
      <c r="F39" s="76" t="str">
        <f>'CAPACITOR-10-50pF'!F31</f>
        <v/>
      </c>
      <c r="H39" s="49" t="s">
        <v>4</v>
      </c>
      <c r="I39" s="76" t="str">
        <f>'CAPACITOR-10-50pF'!I31</f>
        <v/>
      </c>
      <c r="K39" s="49" t="s">
        <v>4</v>
      </c>
      <c r="L39" s="76" t="str">
        <f>'CAPACITOR-10-50pF'!L31</f>
        <v/>
      </c>
      <c r="N39" s="49" t="s">
        <v>4</v>
      </c>
      <c r="O39" s="76" t="str">
        <f>'CAPACITOR-10-50pF'!O31</f>
        <v/>
      </c>
      <c r="R39" s="52">
        <v>1</v>
      </c>
      <c r="S39" s="49" t="s">
        <v>4</v>
      </c>
      <c r="T39" s="77" t="str">
        <f>IF(C39="","",C39)</f>
        <v/>
      </c>
      <c r="U39" s="54"/>
      <c r="V39" s="49" t="s">
        <v>4</v>
      </c>
      <c r="W39" s="77" t="str">
        <f>IF(F39="","",F39)</f>
        <v/>
      </c>
      <c r="X39" s="55"/>
      <c r="Y39" s="49" t="s">
        <v>4</v>
      </c>
      <c r="Z39" s="77" t="str">
        <f>IF(I39="","",I39)</f>
        <v/>
      </c>
      <c r="AA39" s="55"/>
      <c r="AB39" s="49" t="s">
        <v>4</v>
      </c>
      <c r="AC39" s="77" t="str">
        <f>IF(L39="","",L39)</f>
        <v/>
      </c>
      <c r="AD39" s="55"/>
      <c r="AE39" s="49" t="s">
        <v>4</v>
      </c>
      <c r="AF39" s="77" t="str">
        <f>IF(O39="","",O39)</f>
        <v/>
      </c>
    </row>
    <row r="40" spans="1:32" ht="20.100000000000001" customHeight="1" x14ac:dyDescent="0.15">
      <c r="B40" s="98">
        <v>16</v>
      </c>
      <c r="C40" s="99"/>
      <c r="D40" s="78">
        <v>1</v>
      </c>
      <c r="E40" s="98">
        <v>17</v>
      </c>
      <c r="F40" s="99"/>
      <c r="G40" s="78">
        <v>2</v>
      </c>
      <c r="H40" s="98">
        <v>18</v>
      </c>
      <c r="I40" s="99"/>
      <c r="J40" s="78">
        <v>2</v>
      </c>
      <c r="K40" s="98">
        <v>19</v>
      </c>
      <c r="L40" s="99"/>
      <c r="M40" s="78">
        <v>2</v>
      </c>
      <c r="N40" s="98">
        <v>20</v>
      </c>
      <c r="O40" s="99"/>
      <c r="R40" s="52" t="str">
        <f>IF(S40=1,"1","")</f>
        <v/>
      </c>
      <c r="S40" s="92">
        <f>B40</f>
        <v>16</v>
      </c>
      <c r="T40" s="93"/>
      <c r="U40" s="78">
        <v>1</v>
      </c>
      <c r="V40" s="92">
        <f>E40</f>
        <v>17</v>
      </c>
      <c r="W40" s="93"/>
      <c r="X40" s="78">
        <v>2</v>
      </c>
      <c r="Y40" s="92">
        <f>H40</f>
        <v>18</v>
      </c>
      <c r="Z40" s="93"/>
      <c r="AA40" s="78">
        <v>2</v>
      </c>
      <c r="AB40" s="92">
        <f>K40</f>
        <v>19</v>
      </c>
      <c r="AC40" s="93"/>
      <c r="AD40" s="78">
        <v>2</v>
      </c>
      <c r="AE40" s="92">
        <f>N40</f>
        <v>20</v>
      </c>
      <c r="AF40" s="93"/>
    </row>
    <row r="41" spans="1:32" ht="6.75" customHeight="1" x14ac:dyDescent="0.15">
      <c r="B41" s="79"/>
      <c r="C41" s="80"/>
      <c r="D41" s="78"/>
      <c r="E41" s="79"/>
      <c r="F41" s="80"/>
      <c r="G41" s="78"/>
      <c r="H41" s="79"/>
      <c r="I41" s="80"/>
      <c r="J41" s="78"/>
      <c r="K41" s="79"/>
      <c r="L41" s="80"/>
      <c r="M41" s="78"/>
      <c r="N41" s="79"/>
      <c r="O41" s="80"/>
      <c r="R41" s="52"/>
      <c r="S41" s="79"/>
      <c r="T41" s="83"/>
      <c r="U41" s="84"/>
      <c r="V41" s="79"/>
      <c r="W41" s="83"/>
      <c r="X41" s="84"/>
      <c r="Y41" s="79"/>
      <c r="Z41" s="83"/>
      <c r="AA41" s="84"/>
      <c r="AB41" s="79"/>
      <c r="AC41" s="83"/>
      <c r="AD41" s="84"/>
      <c r="AE41" s="79"/>
      <c r="AF41" s="83"/>
    </row>
    <row r="42" spans="1:32" ht="6.75" customHeight="1" x14ac:dyDescent="0.15">
      <c r="B42" s="79"/>
      <c r="C42" s="80"/>
      <c r="D42" s="78"/>
      <c r="E42" s="79"/>
      <c r="F42" s="80"/>
      <c r="G42" s="78"/>
      <c r="H42" s="79"/>
      <c r="I42" s="80"/>
      <c r="J42" s="78"/>
      <c r="K42" s="79"/>
      <c r="L42" s="80"/>
      <c r="M42" s="78"/>
      <c r="N42" s="79"/>
      <c r="O42" s="80"/>
      <c r="R42" s="52"/>
      <c r="S42" s="79"/>
      <c r="T42" s="83"/>
      <c r="U42" s="79"/>
      <c r="V42" s="79"/>
      <c r="W42" s="83"/>
      <c r="X42" s="79"/>
      <c r="Y42" s="79"/>
      <c r="Z42" s="83"/>
      <c r="AA42" s="79"/>
      <c r="AB42" s="79"/>
      <c r="AC42" s="83"/>
      <c r="AD42" s="79"/>
      <c r="AE42" s="79"/>
      <c r="AF42" s="83"/>
    </row>
    <row r="43" spans="1:32" ht="19.5" customHeight="1" x14ac:dyDescent="0.15">
      <c r="B43" s="94" t="str">
        <f>'CAPACITOR-10-50pF'!B33</f>
        <v xml:space="preserve">C  STD  </v>
      </c>
      <c r="C43" s="102"/>
      <c r="E43" s="94" t="str">
        <f>'CAPACITOR-10-50pF'!E33</f>
        <v xml:space="preserve">C  STD  </v>
      </c>
      <c r="F43" s="102"/>
      <c r="H43" s="94" t="str">
        <f>'CAPACITOR-10-50pF'!H33</f>
        <v xml:space="preserve">C  STD  </v>
      </c>
      <c r="I43" s="102"/>
      <c r="K43" s="94" t="str">
        <f>'CAPACITOR-10-50pF'!K33</f>
        <v xml:space="preserve">C  STD  </v>
      </c>
      <c r="L43" s="102"/>
      <c r="N43" s="94" t="str">
        <f>'CAPACITOR-10-50pF'!N33</f>
        <v xml:space="preserve">C  STD  </v>
      </c>
      <c r="O43" s="102"/>
      <c r="Q43" s="51"/>
      <c r="R43" s="41">
        <v>1</v>
      </c>
      <c r="S43" s="103" t="str">
        <f>B43</f>
        <v xml:space="preserve">C  STD  </v>
      </c>
      <c r="T43" s="104"/>
      <c r="U43" s="46"/>
      <c r="V43" s="103" t="str">
        <f>E43</f>
        <v xml:space="preserve">C  STD  </v>
      </c>
      <c r="W43" s="104"/>
      <c r="X43" s="46"/>
      <c r="Y43" s="103" t="str">
        <f>H43</f>
        <v xml:space="preserve">C  STD  </v>
      </c>
      <c r="Z43" s="104"/>
      <c r="AA43" s="46"/>
      <c r="AB43" s="103" t="str">
        <f>K43</f>
        <v xml:space="preserve">C  STD  </v>
      </c>
      <c r="AC43" s="104"/>
      <c r="AD43" s="46"/>
      <c r="AE43" s="103" t="str">
        <f>N43</f>
        <v xml:space="preserve">C  STD  </v>
      </c>
      <c r="AF43" s="104"/>
    </row>
    <row r="44" spans="1:32" ht="19.5" customHeight="1" x14ac:dyDescent="0.15">
      <c r="B44" s="49" t="s">
        <v>0</v>
      </c>
      <c r="C44" s="50" t="str">
        <f>IF('CAPACITOR-10-50pF'!C34="","",'CAPACITOR-10-50pF'!C34)</f>
        <v/>
      </c>
      <c r="E44" s="49" t="s">
        <v>0</v>
      </c>
      <c r="F44" s="50" t="str">
        <f>IF('CAPACITOR-10-50pF'!F34="","",'CAPACITOR-10-50pF'!F34)</f>
        <v/>
      </c>
      <c r="H44" s="49" t="s">
        <v>0</v>
      </c>
      <c r="I44" s="50" t="str">
        <f>IF('CAPACITOR-10-50pF'!I34="","",'CAPACITOR-10-50pF'!I34)</f>
        <v/>
      </c>
      <c r="K44" s="49" t="s">
        <v>0</v>
      </c>
      <c r="L44" s="50" t="str">
        <f>IF('CAPACITOR-10-50pF'!L34="","",'CAPACITOR-10-50pF'!L34)</f>
        <v/>
      </c>
      <c r="N44" s="49" t="s">
        <v>0</v>
      </c>
      <c r="O44" s="50" t="str">
        <f>IF('CAPACITOR-10-50pF'!O34="","",'CAPACITOR-10-50pF'!O34)</f>
        <v/>
      </c>
      <c r="Q44" s="58"/>
      <c r="R44" s="52" t="str">
        <f>IF(T44&lt;&gt;"","1","")</f>
        <v/>
      </c>
      <c r="S44" s="49" t="s">
        <v>0</v>
      </c>
      <c r="T44" s="53" t="str">
        <f>C44</f>
        <v/>
      </c>
      <c r="U44" s="54"/>
      <c r="V44" s="49" t="s">
        <v>0</v>
      </c>
      <c r="W44" s="53" t="str">
        <f>F44</f>
        <v/>
      </c>
      <c r="X44" s="55"/>
      <c r="Y44" s="49" t="s">
        <v>0</v>
      </c>
      <c r="Z44" s="53" t="str">
        <f>I44</f>
        <v/>
      </c>
      <c r="AA44" s="55"/>
      <c r="AB44" s="49" t="s">
        <v>0</v>
      </c>
      <c r="AC44" s="53" t="str">
        <f>L44</f>
        <v/>
      </c>
      <c r="AD44" s="55"/>
      <c r="AE44" s="49" t="s">
        <v>0</v>
      </c>
      <c r="AF44" s="53" t="str">
        <f>O44</f>
        <v/>
      </c>
    </row>
    <row r="45" spans="1:32" ht="19.5" customHeight="1" x14ac:dyDescent="0.15">
      <c r="B45" s="49" t="s">
        <v>1</v>
      </c>
      <c r="C45" s="56" t="str">
        <f>IF('CAPACITOR-10-50pF'!C35="","",'CAPACITOR-10-50pF'!C35)</f>
        <v/>
      </c>
      <c r="D45" s="57"/>
      <c r="E45" s="49" t="s">
        <v>1</v>
      </c>
      <c r="F45" s="56" t="str">
        <f>IF('CAPACITOR-10-50pF'!F35="","",'CAPACITOR-10-50pF'!F35)</f>
        <v/>
      </c>
      <c r="G45" s="57"/>
      <c r="H45" s="49" t="s">
        <v>1</v>
      </c>
      <c r="I45" s="56" t="str">
        <f>IF('CAPACITOR-10-50pF'!I35="","",'CAPACITOR-10-50pF'!I35)</f>
        <v/>
      </c>
      <c r="J45" s="57"/>
      <c r="K45" s="49" t="s">
        <v>1</v>
      </c>
      <c r="L45" s="56" t="str">
        <f>IF('CAPACITOR-10-50pF'!L35="","",'CAPACITOR-10-50pF'!L35)</f>
        <v/>
      </c>
      <c r="M45" s="57"/>
      <c r="N45" s="49" t="s">
        <v>1</v>
      </c>
      <c r="O45" s="56" t="str">
        <f>IF('CAPACITOR-10-50pF'!O35="","",'CAPACITOR-10-50pF'!O35)</f>
        <v/>
      </c>
      <c r="Q45" s="58"/>
      <c r="R45" s="52" t="str">
        <f t="shared" ref="R45:R48" si="4">IF(T45&lt;&gt;"","1","")</f>
        <v/>
      </c>
      <c r="S45" s="49" t="s">
        <v>1</v>
      </c>
      <c r="T45" s="59" t="str">
        <f>IF(C45="","",ROUNDDOWN(C45,4))</f>
        <v/>
      </c>
      <c r="U45" s="60"/>
      <c r="V45" s="49" t="s">
        <v>1</v>
      </c>
      <c r="W45" s="59" t="str">
        <f>IF(F45="","",ROUNDDOWN(F45,4))</f>
        <v/>
      </c>
      <c r="X45" s="61"/>
      <c r="Y45" s="49" t="s">
        <v>1</v>
      </c>
      <c r="Z45" s="59" t="str">
        <f>IF(I45="","",ROUNDDOWN(I45,4))</f>
        <v/>
      </c>
      <c r="AA45" s="62"/>
      <c r="AB45" s="49" t="s">
        <v>1</v>
      </c>
      <c r="AC45" s="59" t="str">
        <f>IF(L45="","",ROUNDDOWN(L45,4))</f>
        <v/>
      </c>
      <c r="AD45" s="62"/>
      <c r="AE45" s="49" t="s">
        <v>1</v>
      </c>
      <c r="AF45" s="59" t="str">
        <f>IF(O45="","",ROUNDDOWN(O45,4))</f>
        <v/>
      </c>
    </row>
    <row r="46" spans="1:32" ht="27" customHeight="1" x14ac:dyDescent="0.15">
      <c r="B46" s="49" t="s">
        <v>34</v>
      </c>
      <c r="C46" s="63" t="str">
        <f>T46</f>
        <v/>
      </c>
      <c r="D46" s="57"/>
      <c r="E46" s="49" t="s">
        <v>34</v>
      </c>
      <c r="F46" s="63" t="str">
        <f>W46</f>
        <v/>
      </c>
      <c r="G46" s="57"/>
      <c r="H46" s="49" t="s">
        <v>34</v>
      </c>
      <c r="I46" s="63" t="str">
        <f>Z46</f>
        <v/>
      </c>
      <c r="J46" s="57"/>
      <c r="K46" s="49" t="s">
        <v>34</v>
      </c>
      <c r="L46" s="63" t="str">
        <f>AC46</f>
        <v/>
      </c>
      <c r="M46" s="57"/>
      <c r="N46" s="49" t="s">
        <v>34</v>
      </c>
      <c r="O46" s="63" t="str">
        <f>AF46</f>
        <v/>
      </c>
      <c r="R46" s="52" t="str">
        <f t="shared" si="4"/>
        <v/>
      </c>
      <c r="S46" s="64" t="s">
        <v>34</v>
      </c>
      <c r="T46" s="65" t="str">
        <f>IF(T45="","","*"&amp;T45&amp;"*")</f>
        <v/>
      </c>
      <c r="U46" s="66"/>
      <c r="V46" s="64" t="s">
        <v>34</v>
      </c>
      <c r="W46" s="65" t="str">
        <f>IF(W45="","","*"&amp;W45&amp;"*")</f>
        <v/>
      </c>
      <c r="X46" s="66"/>
      <c r="Y46" s="64" t="s">
        <v>34</v>
      </c>
      <c r="Z46" s="65" t="str">
        <f>IF(Z45="","","*"&amp;Z45&amp;"*")</f>
        <v/>
      </c>
      <c r="AA46" s="66"/>
      <c r="AB46" s="64" t="s">
        <v>34</v>
      </c>
      <c r="AC46" s="65" t="str">
        <f>IF(AC45="","","*"&amp;AC45&amp;"*")</f>
        <v/>
      </c>
      <c r="AD46" s="66"/>
      <c r="AE46" s="64" t="s">
        <v>34</v>
      </c>
      <c r="AF46" s="65" t="str">
        <f>IF(AF45="","","*"&amp;AF45&amp;"*")</f>
        <v/>
      </c>
    </row>
    <row r="47" spans="1:32" ht="20.100000000000001" customHeight="1" x14ac:dyDescent="0.15">
      <c r="B47" s="49" t="s">
        <v>2</v>
      </c>
      <c r="C47" s="67" t="str">
        <f>IF('CAPACITOR-10-50pF'!C36="","",'CAPACITOR-10-50pF'!C36)</f>
        <v/>
      </c>
      <c r="D47" s="57"/>
      <c r="E47" s="49" t="s">
        <v>2</v>
      </c>
      <c r="F47" s="67" t="str">
        <f>IF('CAPACITOR-10-50pF'!F36="","",'CAPACITOR-10-50pF'!F36)</f>
        <v/>
      </c>
      <c r="G47" s="57"/>
      <c r="H47" s="49" t="s">
        <v>2</v>
      </c>
      <c r="I47" s="67" t="str">
        <f>IF('CAPACITOR-10-50pF'!I36="","",'CAPACITOR-10-50pF'!I36)</f>
        <v/>
      </c>
      <c r="J47" s="57"/>
      <c r="K47" s="49" t="s">
        <v>2</v>
      </c>
      <c r="L47" s="67" t="str">
        <f>IF('CAPACITOR-10-50pF'!L36="","",'CAPACITOR-10-50pF'!L36)</f>
        <v/>
      </c>
      <c r="M47" s="57"/>
      <c r="N47" s="49" t="s">
        <v>2</v>
      </c>
      <c r="O47" s="67" t="str">
        <f>IF('CAPACITOR-10-50pF'!O36="","",'CAPACITOR-10-50pF'!O36)</f>
        <v/>
      </c>
      <c r="Q47" s="68"/>
      <c r="R47" s="52" t="str">
        <f t="shared" si="4"/>
        <v/>
      </c>
      <c r="S47" s="49" t="s">
        <v>2</v>
      </c>
      <c r="T47" s="69" t="str">
        <f>IF(C47="","",ROUNDDOWN((C47*100),4))</f>
        <v/>
      </c>
      <c r="U47" s="66"/>
      <c r="V47" s="49" t="s">
        <v>2</v>
      </c>
      <c r="W47" s="69" t="str">
        <f>IF(F47="","",ROUNDDOWN((F47*100),4))</f>
        <v/>
      </c>
      <c r="X47" s="66"/>
      <c r="Y47" s="49" t="s">
        <v>2</v>
      </c>
      <c r="Z47" s="69" t="str">
        <f>IF(I47="","",ROUNDDOWN((I47*100),4))</f>
        <v/>
      </c>
      <c r="AA47" s="66"/>
      <c r="AB47" s="49" t="s">
        <v>2</v>
      </c>
      <c r="AC47" s="69" t="str">
        <f>IF(L47="","",ROUNDDOWN((L47*100),4))</f>
        <v/>
      </c>
      <c r="AD47" s="66"/>
      <c r="AE47" s="49" t="s">
        <v>2</v>
      </c>
      <c r="AF47" s="69" t="str">
        <f>IF(O47="","",ROUNDDOWN((O47*100),4))</f>
        <v/>
      </c>
    </row>
    <row r="48" spans="1:32" ht="27" customHeight="1" x14ac:dyDescent="0.15">
      <c r="B48" s="49" t="s">
        <v>35</v>
      </c>
      <c r="C48" s="63" t="str">
        <f>T48</f>
        <v/>
      </c>
      <c r="D48" s="57"/>
      <c r="E48" s="49" t="s">
        <v>35</v>
      </c>
      <c r="F48" s="63" t="str">
        <f>W48</f>
        <v/>
      </c>
      <c r="G48" s="57"/>
      <c r="H48" s="49" t="s">
        <v>35</v>
      </c>
      <c r="I48" s="63" t="str">
        <f>Z48</f>
        <v/>
      </c>
      <c r="J48" s="57"/>
      <c r="K48" s="49" t="s">
        <v>35</v>
      </c>
      <c r="L48" s="63" t="str">
        <f>AC48</f>
        <v/>
      </c>
      <c r="M48" s="57"/>
      <c r="N48" s="49" t="s">
        <v>35</v>
      </c>
      <c r="O48" s="63" t="str">
        <f>AF48</f>
        <v/>
      </c>
      <c r="R48" s="52" t="str">
        <f t="shared" si="4"/>
        <v/>
      </c>
      <c r="S48" s="49" t="s">
        <v>35</v>
      </c>
      <c r="T48" s="70" t="str">
        <f>IF(T47="","","*"&amp;T47&amp;"*")</f>
        <v/>
      </c>
      <c r="U48" s="66"/>
      <c r="V48" s="49" t="s">
        <v>35</v>
      </c>
      <c r="W48" s="70" t="str">
        <f>IF(W47="","","*"&amp;W47&amp;"*")</f>
        <v/>
      </c>
      <c r="X48" s="66"/>
      <c r="Y48" s="49" t="s">
        <v>35</v>
      </c>
      <c r="Z48" s="70" t="str">
        <f>IF(Z47="","","*"&amp;Z47&amp;"*")</f>
        <v/>
      </c>
      <c r="AA48" s="66"/>
      <c r="AB48" s="49" t="s">
        <v>35</v>
      </c>
      <c r="AC48" s="70" t="str">
        <f>IF(AC47="","","*"&amp;AC47&amp;"*")</f>
        <v/>
      </c>
      <c r="AD48" s="66"/>
      <c r="AE48" s="49" t="s">
        <v>35</v>
      </c>
      <c r="AF48" s="70" t="str">
        <f>IF(AF47="","","*"&amp;AF47&amp;"*")</f>
        <v/>
      </c>
    </row>
    <row r="49" spans="1:32" ht="54.95" customHeight="1" x14ac:dyDescent="0.15">
      <c r="A49" s="71"/>
      <c r="B49" s="72" t="s">
        <v>3</v>
      </c>
      <c r="C49" s="49"/>
      <c r="D49" s="71"/>
      <c r="E49" s="72" t="s">
        <v>3</v>
      </c>
      <c r="F49" s="49"/>
      <c r="G49" s="71"/>
      <c r="H49" s="72" t="s">
        <v>3</v>
      </c>
      <c r="I49" s="49"/>
      <c r="J49" s="71"/>
      <c r="K49" s="72" t="s">
        <v>3</v>
      </c>
      <c r="L49" s="49"/>
      <c r="M49" s="71"/>
      <c r="N49" s="72" t="s">
        <v>3</v>
      </c>
      <c r="O49" s="49"/>
      <c r="P49" s="71"/>
      <c r="Q49" s="71"/>
      <c r="R49" s="73">
        <v>1</v>
      </c>
      <c r="S49" s="72" t="s">
        <v>3</v>
      </c>
      <c r="T49" s="75"/>
      <c r="U49" s="74"/>
      <c r="V49" s="72" t="s">
        <v>3</v>
      </c>
      <c r="W49" s="75"/>
      <c r="X49" s="74"/>
      <c r="Y49" s="72" t="s">
        <v>3</v>
      </c>
      <c r="Z49" s="75"/>
      <c r="AA49" s="74"/>
      <c r="AB49" s="72" t="s">
        <v>3</v>
      </c>
      <c r="AC49" s="75"/>
      <c r="AD49" s="74"/>
      <c r="AE49" s="72" t="s">
        <v>3</v>
      </c>
      <c r="AF49" s="75"/>
    </row>
    <row r="50" spans="1:32" ht="20.100000000000001" customHeight="1" x14ac:dyDescent="0.15">
      <c r="B50" s="49" t="s">
        <v>4</v>
      </c>
      <c r="C50" s="76" t="str">
        <f>'CAPACITOR-10-50pF'!C38</f>
        <v/>
      </c>
      <c r="E50" s="49" t="s">
        <v>4</v>
      </c>
      <c r="F50" s="76" t="str">
        <f>'CAPACITOR-10-50pF'!F38</f>
        <v/>
      </c>
      <c r="H50" s="49" t="s">
        <v>4</v>
      </c>
      <c r="I50" s="76" t="str">
        <f>'CAPACITOR-10-50pF'!I38</f>
        <v/>
      </c>
      <c r="K50" s="49" t="s">
        <v>4</v>
      </c>
      <c r="L50" s="76" t="str">
        <f>'CAPACITOR-10-50pF'!L38</f>
        <v/>
      </c>
      <c r="N50" s="49" t="s">
        <v>4</v>
      </c>
      <c r="O50" s="76" t="str">
        <f>'CAPACITOR-10-50pF'!O38</f>
        <v/>
      </c>
      <c r="R50" s="52">
        <v>1</v>
      </c>
      <c r="S50" s="49" t="s">
        <v>4</v>
      </c>
      <c r="T50" s="77" t="str">
        <f>IF(C50="","",C50)</f>
        <v/>
      </c>
      <c r="U50" s="54"/>
      <c r="V50" s="49" t="s">
        <v>4</v>
      </c>
      <c r="W50" s="77" t="str">
        <f>IF(F50="","",F50)</f>
        <v/>
      </c>
      <c r="X50" s="55"/>
      <c r="Y50" s="49" t="s">
        <v>4</v>
      </c>
      <c r="Z50" s="77" t="str">
        <f>IF(I50="","",I50)</f>
        <v/>
      </c>
      <c r="AA50" s="55"/>
      <c r="AB50" s="49" t="s">
        <v>4</v>
      </c>
      <c r="AC50" s="77" t="str">
        <f>IF(L50="","",L50)</f>
        <v/>
      </c>
      <c r="AD50" s="55"/>
      <c r="AE50" s="49" t="s">
        <v>4</v>
      </c>
      <c r="AF50" s="77" t="str">
        <f>IF(O50="","",O50)</f>
        <v/>
      </c>
    </row>
    <row r="51" spans="1:32" ht="20.100000000000001" customHeight="1" x14ac:dyDescent="0.15">
      <c r="B51" s="98">
        <v>21</v>
      </c>
      <c r="C51" s="99"/>
      <c r="D51" s="78">
        <v>1</v>
      </c>
      <c r="E51" s="98">
        <v>22</v>
      </c>
      <c r="F51" s="99"/>
      <c r="G51" s="78">
        <v>2</v>
      </c>
      <c r="H51" s="98">
        <v>23</v>
      </c>
      <c r="I51" s="99"/>
      <c r="J51" s="78">
        <v>2</v>
      </c>
      <c r="K51" s="98">
        <v>24</v>
      </c>
      <c r="L51" s="99"/>
      <c r="M51" s="78">
        <v>2</v>
      </c>
      <c r="N51" s="98">
        <v>25</v>
      </c>
      <c r="O51" s="99"/>
      <c r="R51" s="52" t="str">
        <f>IF(S51=1,"1","")</f>
        <v/>
      </c>
      <c r="S51" s="92">
        <f>B51</f>
        <v>21</v>
      </c>
      <c r="T51" s="93"/>
      <c r="U51" s="78">
        <v>1</v>
      </c>
      <c r="V51" s="92">
        <f>E51</f>
        <v>22</v>
      </c>
      <c r="W51" s="93"/>
      <c r="X51" s="78">
        <v>2</v>
      </c>
      <c r="Y51" s="92">
        <f>H51</f>
        <v>23</v>
      </c>
      <c r="Z51" s="93"/>
      <c r="AA51" s="78">
        <v>2</v>
      </c>
      <c r="AB51" s="92">
        <f>K51</f>
        <v>24</v>
      </c>
      <c r="AC51" s="93"/>
      <c r="AD51" s="78">
        <v>2</v>
      </c>
      <c r="AE51" s="92">
        <f>N51</f>
        <v>25</v>
      </c>
      <c r="AF51" s="93"/>
    </row>
    <row r="52" spans="1:32" ht="6.75" customHeight="1" x14ac:dyDescent="0.15">
      <c r="B52" s="79"/>
      <c r="C52" s="80"/>
      <c r="D52" s="78"/>
      <c r="E52" s="79"/>
      <c r="F52" s="80"/>
      <c r="G52" s="78"/>
      <c r="H52" s="79"/>
      <c r="I52" s="80"/>
      <c r="J52" s="78"/>
      <c r="K52" s="79"/>
      <c r="L52" s="80"/>
      <c r="M52" s="78"/>
      <c r="N52" s="79"/>
      <c r="O52" s="80"/>
      <c r="R52" s="52"/>
      <c r="S52" s="81"/>
      <c r="T52" s="82"/>
      <c r="U52" s="78"/>
      <c r="V52" s="81"/>
      <c r="W52" s="82"/>
      <c r="X52" s="78"/>
      <c r="Y52" s="81"/>
      <c r="Z52" s="82"/>
      <c r="AA52" s="78"/>
      <c r="AB52" s="81"/>
      <c r="AC52" s="82"/>
      <c r="AD52" s="78"/>
      <c r="AE52" s="81"/>
      <c r="AF52" s="82"/>
    </row>
    <row r="53" spans="1:32" ht="19.5" customHeight="1" x14ac:dyDescent="0.15">
      <c r="B53" s="94" t="str">
        <f>'CAPACITOR-10-50pF'!B40</f>
        <v xml:space="preserve">C  STD  </v>
      </c>
      <c r="C53" s="102"/>
      <c r="E53" s="94" t="str">
        <f>'CAPACITOR-10-50pF'!E40</f>
        <v xml:space="preserve">C  STD  </v>
      </c>
      <c r="F53" s="102"/>
      <c r="H53" s="94" t="str">
        <f>'CAPACITOR-10-50pF'!H40</f>
        <v xml:space="preserve">C  STD  </v>
      </c>
      <c r="I53" s="102"/>
      <c r="K53" s="94" t="str">
        <f>'CAPACITOR-10-50pF'!K40</f>
        <v xml:space="preserve">C  STD  </v>
      </c>
      <c r="L53" s="102"/>
      <c r="N53" s="94" t="str">
        <f>'CAPACITOR-10-50pF'!N40</f>
        <v xml:space="preserve">C  STD  </v>
      </c>
      <c r="O53" s="102"/>
      <c r="Q53" s="58"/>
      <c r="R53" s="41">
        <v>1</v>
      </c>
      <c r="S53" s="100" t="str">
        <f>B53</f>
        <v xml:space="preserve">C  STD  </v>
      </c>
      <c r="T53" s="101"/>
      <c r="U53" s="46"/>
      <c r="V53" s="100" t="str">
        <f>E53</f>
        <v xml:space="preserve">C  STD  </v>
      </c>
      <c r="W53" s="101"/>
      <c r="X53" s="46"/>
      <c r="Y53" s="100" t="str">
        <f>H53</f>
        <v xml:space="preserve">C  STD  </v>
      </c>
      <c r="Z53" s="101"/>
      <c r="AA53" s="46"/>
      <c r="AB53" s="100" t="str">
        <f>K53</f>
        <v xml:space="preserve">C  STD  </v>
      </c>
      <c r="AC53" s="101"/>
      <c r="AD53" s="46"/>
      <c r="AE53" s="100" t="str">
        <f>N53</f>
        <v xml:space="preserve">C  STD  </v>
      </c>
      <c r="AF53" s="101"/>
    </row>
    <row r="54" spans="1:32" ht="19.5" customHeight="1" x14ac:dyDescent="0.15">
      <c r="B54" s="49" t="s">
        <v>0</v>
      </c>
      <c r="C54" s="50" t="str">
        <f>IF('CAPACITOR-10-50pF'!C41="","",'CAPACITOR-10-50pF'!C41)</f>
        <v/>
      </c>
      <c r="E54" s="49" t="s">
        <v>0</v>
      </c>
      <c r="F54" s="50" t="str">
        <f>IF('CAPACITOR-10-50pF'!F41="","",'CAPACITOR-10-50pF'!F41)</f>
        <v/>
      </c>
      <c r="H54" s="49" t="s">
        <v>0</v>
      </c>
      <c r="I54" s="50" t="str">
        <f>IF('CAPACITOR-10-50pF'!I41="","",'CAPACITOR-10-50pF'!I41)</f>
        <v/>
      </c>
      <c r="K54" s="49" t="s">
        <v>0</v>
      </c>
      <c r="L54" s="50" t="str">
        <f>IF('CAPACITOR-10-50pF'!L41="","",'CAPACITOR-10-50pF'!L41)</f>
        <v/>
      </c>
      <c r="N54" s="49" t="s">
        <v>0</v>
      </c>
      <c r="O54" s="50" t="str">
        <f>IF('CAPACITOR-10-50pF'!O41="","",'CAPACITOR-10-50pF'!O41)</f>
        <v/>
      </c>
      <c r="Q54" s="58"/>
      <c r="R54" s="52" t="str">
        <f>IF(T54&lt;&gt;"","1","")</f>
        <v/>
      </c>
      <c r="S54" s="49" t="s">
        <v>0</v>
      </c>
      <c r="T54" s="53" t="str">
        <f>C54</f>
        <v/>
      </c>
      <c r="U54" s="54"/>
      <c r="V54" s="49" t="s">
        <v>0</v>
      </c>
      <c r="W54" s="53" t="str">
        <f>F54</f>
        <v/>
      </c>
      <c r="X54" s="55"/>
      <c r="Y54" s="49" t="s">
        <v>0</v>
      </c>
      <c r="Z54" s="53" t="str">
        <f>I54</f>
        <v/>
      </c>
      <c r="AA54" s="55"/>
      <c r="AB54" s="49" t="s">
        <v>0</v>
      </c>
      <c r="AC54" s="53" t="str">
        <f>L54</f>
        <v/>
      </c>
      <c r="AD54" s="55"/>
      <c r="AE54" s="49" t="s">
        <v>0</v>
      </c>
      <c r="AF54" s="53" t="str">
        <f>O54</f>
        <v/>
      </c>
    </row>
    <row r="55" spans="1:32" ht="19.5" customHeight="1" x14ac:dyDescent="0.15">
      <c r="B55" s="49" t="s">
        <v>1</v>
      </c>
      <c r="C55" s="56" t="str">
        <f>IF('CAPACITOR-10-50pF'!C42="","",'CAPACITOR-10-50pF'!C42)</f>
        <v/>
      </c>
      <c r="D55" s="57"/>
      <c r="E55" s="49" t="s">
        <v>1</v>
      </c>
      <c r="F55" s="56" t="str">
        <f>IF('CAPACITOR-10-50pF'!F42="","",'CAPACITOR-10-50pF'!F42)</f>
        <v/>
      </c>
      <c r="G55" s="57"/>
      <c r="H55" s="49" t="s">
        <v>1</v>
      </c>
      <c r="I55" s="56" t="str">
        <f>IF('CAPACITOR-10-50pF'!I42="","",'CAPACITOR-10-50pF'!I42)</f>
        <v/>
      </c>
      <c r="J55" s="57"/>
      <c r="K55" s="49" t="s">
        <v>1</v>
      </c>
      <c r="L55" s="56" t="str">
        <f>IF('CAPACITOR-10-50pF'!L42="","",'CAPACITOR-10-50pF'!L42)</f>
        <v/>
      </c>
      <c r="M55" s="57"/>
      <c r="N55" s="49" t="s">
        <v>1</v>
      </c>
      <c r="O55" s="56" t="str">
        <f>IF('CAPACITOR-10-50pF'!O42="","",'CAPACITOR-10-50pF'!O42)</f>
        <v/>
      </c>
      <c r="Q55" s="58"/>
      <c r="R55" s="52" t="str">
        <f t="shared" ref="R55:R58" si="5">IF(T55&lt;&gt;"","1","")</f>
        <v/>
      </c>
      <c r="S55" s="49" t="s">
        <v>1</v>
      </c>
      <c r="T55" s="59" t="str">
        <f>IF(C55="","",ROUNDDOWN(C55,4))</f>
        <v/>
      </c>
      <c r="U55" s="60"/>
      <c r="V55" s="49" t="s">
        <v>1</v>
      </c>
      <c r="W55" s="59" t="str">
        <f>IF(F55="","",ROUNDDOWN(F55,4))</f>
        <v/>
      </c>
      <c r="X55" s="61"/>
      <c r="Y55" s="49" t="s">
        <v>1</v>
      </c>
      <c r="Z55" s="59" t="str">
        <f>IF(I55="","",ROUNDDOWN(I55,4))</f>
        <v/>
      </c>
      <c r="AA55" s="62"/>
      <c r="AB55" s="49" t="s">
        <v>1</v>
      </c>
      <c r="AC55" s="59" t="str">
        <f>IF(L55="","",ROUNDDOWN(L55,4))</f>
        <v/>
      </c>
      <c r="AD55" s="62"/>
      <c r="AE55" s="49" t="s">
        <v>1</v>
      </c>
      <c r="AF55" s="59" t="str">
        <f>IF(O55="","",ROUNDDOWN(O55,4))</f>
        <v/>
      </c>
    </row>
    <row r="56" spans="1:32" ht="27" customHeight="1" x14ac:dyDescent="0.15">
      <c r="B56" s="49" t="s">
        <v>34</v>
      </c>
      <c r="C56" s="63" t="str">
        <f>T56</f>
        <v/>
      </c>
      <c r="D56" s="57"/>
      <c r="E56" s="49" t="s">
        <v>34</v>
      </c>
      <c r="F56" s="63" t="str">
        <f>W56</f>
        <v/>
      </c>
      <c r="G56" s="57"/>
      <c r="H56" s="49" t="s">
        <v>34</v>
      </c>
      <c r="I56" s="63" t="str">
        <f>Z56</f>
        <v/>
      </c>
      <c r="J56" s="57"/>
      <c r="K56" s="49" t="s">
        <v>34</v>
      </c>
      <c r="L56" s="63" t="str">
        <f>AC56</f>
        <v/>
      </c>
      <c r="M56" s="57"/>
      <c r="N56" s="49" t="s">
        <v>34</v>
      </c>
      <c r="O56" s="63" t="str">
        <f>AF56</f>
        <v/>
      </c>
      <c r="R56" s="52" t="str">
        <f t="shared" si="5"/>
        <v/>
      </c>
      <c r="S56" s="64" t="s">
        <v>34</v>
      </c>
      <c r="T56" s="65" t="str">
        <f>IF(T55="","","*"&amp;T55&amp;"*")</f>
        <v/>
      </c>
      <c r="U56" s="66"/>
      <c r="V56" s="64" t="s">
        <v>34</v>
      </c>
      <c r="W56" s="65" t="str">
        <f>IF(W55="","","*"&amp;W55&amp;"*")</f>
        <v/>
      </c>
      <c r="X56" s="66"/>
      <c r="Y56" s="64" t="s">
        <v>34</v>
      </c>
      <c r="Z56" s="65" t="str">
        <f>IF(Z55="","","*"&amp;Z55&amp;"*")</f>
        <v/>
      </c>
      <c r="AA56" s="66"/>
      <c r="AB56" s="64" t="s">
        <v>34</v>
      </c>
      <c r="AC56" s="65" t="str">
        <f>IF(AC55="","","*"&amp;AC55&amp;"*")</f>
        <v/>
      </c>
      <c r="AD56" s="66"/>
      <c r="AE56" s="64" t="s">
        <v>34</v>
      </c>
      <c r="AF56" s="65" t="str">
        <f>IF(AF55="","","*"&amp;AF55&amp;"*")</f>
        <v/>
      </c>
    </row>
    <row r="57" spans="1:32" ht="20.100000000000001" customHeight="1" x14ac:dyDescent="0.15">
      <c r="B57" s="49" t="s">
        <v>2</v>
      </c>
      <c r="C57" s="67" t="str">
        <f>IF('CAPACITOR-10-50pF'!C43="","",'CAPACITOR-10-50pF'!C43)</f>
        <v/>
      </c>
      <c r="D57" s="57"/>
      <c r="E57" s="49" t="s">
        <v>2</v>
      </c>
      <c r="F57" s="67" t="str">
        <f>IF('CAPACITOR-10-50pF'!F43="","",'CAPACITOR-10-50pF'!F43)</f>
        <v/>
      </c>
      <c r="G57" s="57"/>
      <c r="H57" s="49" t="s">
        <v>2</v>
      </c>
      <c r="I57" s="67" t="str">
        <f>IF('CAPACITOR-10-50pF'!I43="","",'CAPACITOR-10-50pF'!I43)</f>
        <v/>
      </c>
      <c r="J57" s="57"/>
      <c r="K57" s="49" t="s">
        <v>2</v>
      </c>
      <c r="L57" s="67" t="str">
        <f>IF('CAPACITOR-10-50pF'!L43="","",'CAPACITOR-10-50pF'!L43)</f>
        <v/>
      </c>
      <c r="M57" s="57"/>
      <c r="N57" s="49" t="s">
        <v>2</v>
      </c>
      <c r="O57" s="67" t="str">
        <f>IF('CAPACITOR-10-50pF'!O43="","",'CAPACITOR-10-50pF'!O43)</f>
        <v/>
      </c>
      <c r="Q57" s="68"/>
      <c r="R57" s="52" t="str">
        <f t="shared" si="5"/>
        <v/>
      </c>
      <c r="S57" s="49" t="s">
        <v>2</v>
      </c>
      <c r="T57" s="69" t="str">
        <f>IF(C57="","",ROUNDDOWN((C57*100),4))</f>
        <v/>
      </c>
      <c r="U57" s="66"/>
      <c r="V57" s="49" t="s">
        <v>2</v>
      </c>
      <c r="W57" s="69" t="str">
        <f>IF(F57="","",ROUNDDOWN((F57*100),4))</f>
        <v/>
      </c>
      <c r="X57" s="66"/>
      <c r="Y57" s="49" t="s">
        <v>2</v>
      </c>
      <c r="Z57" s="69" t="str">
        <f>IF(I57="","",ROUNDDOWN((I57*100),4))</f>
        <v/>
      </c>
      <c r="AA57" s="66"/>
      <c r="AB57" s="49" t="s">
        <v>2</v>
      </c>
      <c r="AC57" s="69" t="str">
        <f>IF(L57="","",ROUNDDOWN((L57*100),4))</f>
        <v/>
      </c>
      <c r="AD57" s="66"/>
      <c r="AE57" s="49" t="s">
        <v>2</v>
      </c>
      <c r="AF57" s="69" t="str">
        <f>IF(O57="","",ROUNDDOWN((O57*100),4))</f>
        <v/>
      </c>
    </row>
    <row r="58" spans="1:32" ht="27" customHeight="1" x14ac:dyDescent="0.15">
      <c r="B58" s="49" t="s">
        <v>35</v>
      </c>
      <c r="C58" s="63" t="str">
        <f>T58</f>
        <v/>
      </c>
      <c r="D58" s="57"/>
      <c r="E58" s="49" t="s">
        <v>35</v>
      </c>
      <c r="F58" s="63" t="str">
        <f>W58</f>
        <v/>
      </c>
      <c r="G58" s="57"/>
      <c r="H58" s="49" t="s">
        <v>35</v>
      </c>
      <c r="I58" s="63" t="str">
        <f>Z58</f>
        <v/>
      </c>
      <c r="J58" s="57"/>
      <c r="K58" s="49" t="s">
        <v>35</v>
      </c>
      <c r="L58" s="63" t="str">
        <f>AC58</f>
        <v/>
      </c>
      <c r="M58" s="57"/>
      <c r="N58" s="49" t="s">
        <v>35</v>
      </c>
      <c r="O58" s="63" t="str">
        <f>AF58</f>
        <v/>
      </c>
      <c r="R58" s="52" t="str">
        <f t="shared" si="5"/>
        <v/>
      </c>
      <c r="S58" s="49" t="s">
        <v>35</v>
      </c>
      <c r="T58" s="70" t="str">
        <f>IF(T57="","","*"&amp;T57&amp;"*")</f>
        <v/>
      </c>
      <c r="U58" s="66"/>
      <c r="V58" s="49" t="s">
        <v>35</v>
      </c>
      <c r="W58" s="70" t="str">
        <f>IF(W57="","","*"&amp;W57&amp;"*")</f>
        <v/>
      </c>
      <c r="X58" s="66"/>
      <c r="Y58" s="49" t="s">
        <v>35</v>
      </c>
      <c r="Z58" s="70" t="str">
        <f>IF(Z57="","","*"&amp;Z57&amp;"*")</f>
        <v/>
      </c>
      <c r="AA58" s="66"/>
      <c r="AB58" s="49" t="s">
        <v>35</v>
      </c>
      <c r="AC58" s="70" t="str">
        <f>IF(AC57="","","*"&amp;AC57&amp;"*")</f>
        <v/>
      </c>
      <c r="AD58" s="66"/>
      <c r="AE58" s="49" t="s">
        <v>35</v>
      </c>
      <c r="AF58" s="70" t="str">
        <f>IF(AF57="","","*"&amp;AF57&amp;"*")</f>
        <v/>
      </c>
    </row>
    <row r="59" spans="1:32" ht="54.95" customHeight="1" x14ac:dyDescent="0.15">
      <c r="A59" s="71"/>
      <c r="B59" s="72" t="s">
        <v>3</v>
      </c>
      <c r="C59" s="49"/>
      <c r="D59" s="71"/>
      <c r="E59" s="72" t="s">
        <v>3</v>
      </c>
      <c r="F59" s="49"/>
      <c r="G59" s="71"/>
      <c r="H59" s="72" t="s">
        <v>3</v>
      </c>
      <c r="I59" s="49"/>
      <c r="J59" s="71"/>
      <c r="K59" s="72" t="s">
        <v>3</v>
      </c>
      <c r="L59" s="49"/>
      <c r="M59" s="71"/>
      <c r="N59" s="72" t="s">
        <v>3</v>
      </c>
      <c r="O59" s="49"/>
      <c r="P59" s="71"/>
      <c r="Q59" s="71"/>
      <c r="R59" s="73">
        <v>1</v>
      </c>
      <c r="S59" s="72" t="s">
        <v>3</v>
      </c>
      <c r="T59" s="75"/>
      <c r="U59" s="74"/>
      <c r="V59" s="72" t="s">
        <v>3</v>
      </c>
      <c r="W59" s="75"/>
      <c r="X59" s="74"/>
      <c r="Y59" s="72" t="s">
        <v>3</v>
      </c>
      <c r="Z59" s="75"/>
      <c r="AA59" s="74"/>
      <c r="AB59" s="72" t="s">
        <v>3</v>
      </c>
      <c r="AC59" s="75"/>
      <c r="AD59" s="74"/>
      <c r="AE59" s="72" t="s">
        <v>3</v>
      </c>
      <c r="AF59" s="75"/>
    </row>
    <row r="60" spans="1:32" ht="20.25" customHeight="1" x14ac:dyDescent="0.15">
      <c r="B60" s="49" t="s">
        <v>4</v>
      </c>
      <c r="C60" s="76" t="str">
        <f>'CAPACITOR-10-50pF'!C45</f>
        <v/>
      </c>
      <c r="E60" s="49" t="s">
        <v>4</v>
      </c>
      <c r="F60" s="76" t="str">
        <f>'CAPACITOR-10-50pF'!F45</f>
        <v/>
      </c>
      <c r="H60" s="49" t="s">
        <v>4</v>
      </c>
      <c r="I60" s="76" t="str">
        <f>'CAPACITOR-10-50pF'!I45</f>
        <v/>
      </c>
      <c r="K60" s="49" t="s">
        <v>4</v>
      </c>
      <c r="L60" s="76" t="str">
        <f>'CAPACITOR-10-50pF'!L45</f>
        <v/>
      </c>
      <c r="N60" s="49" t="s">
        <v>4</v>
      </c>
      <c r="O60" s="76" t="str">
        <f>'CAPACITOR-10-50pF'!O45</f>
        <v/>
      </c>
      <c r="R60" s="52">
        <v>1</v>
      </c>
      <c r="S60" s="49" t="s">
        <v>4</v>
      </c>
      <c r="T60" s="77" t="str">
        <f>IF(C60="","",C60)</f>
        <v/>
      </c>
      <c r="U60" s="54"/>
      <c r="V60" s="49" t="s">
        <v>4</v>
      </c>
      <c r="W60" s="77" t="str">
        <f>IF(F60="","",F60)</f>
        <v/>
      </c>
      <c r="X60" s="55"/>
      <c r="Y60" s="49" t="s">
        <v>4</v>
      </c>
      <c r="Z60" s="77" t="str">
        <f>IF(I60="","",I60)</f>
        <v/>
      </c>
      <c r="AA60" s="55"/>
      <c r="AB60" s="49" t="s">
        <v>4</v>
      </c>
      <c r="AC60" s="77" t="str">
        <f>IF(L60="","",L60)</f>
        <v/>
      </c>
      <c r="AD60" s="55"/>
      <c r="AE60" s="49" t="s">
        <v>4</v>
      </c>
      <c r="AF60" s="77" t="str">
        <f>IF(O60="","",O60)</f>
        <v/>
      </c>
    </row>
    <row r="61" spans="1:32" ht="20.25" customHeight="1" x14ac:dyDescent="0.15">
      <c r="B61" s="98">
        <v>26</v>
      </c>
      <c r="C61" s="99"/>
      <c r="D61" s="78">
        <v>1</v>
      </c>
      <c r="E61" s="98">
        <v>27</v>
      </c>
      <c r="F61" s="99"/>
      <c r="G61" s="78">
        <v>2</v>
      </c>
      <c r="H61" s="98">
        <v>28</v>
      </c>
      <c r="I61" s="99"/>
      <c r="J61" s="78">
        <v>2</v>
      </c>
      <c r="K61" s="98">
        <v>29</v>
      </c>
      <c r="L61" s="99"/>
      <c r="M61" s="78">
        <v>2</v>
      </c>
      <c r="N61" s="98">
        <v>30</v>
      </c>
      <c r="O61" s="99"/>
      <c r="R61" s="52" t="str">
        <f>IF(S61=1,"1","")</f>
        <v/>
      </c>
      <c r="S61" s="92">
        <f>B61</f>
        <v>26</v>
      </c>
      <c r="T61" s="93"/>
      <c r="U61" s="78">
        <v>1</v>
      </c>
      <c r="V61" s="92">
        <f>E61</f>
        <v>27</v>
      </c>
      <c r="W61" s="93"/>
      <c r="X61" s="78">
        <v>2</v>
      </c>
      <c r="Y61" s="92">
        <f>H61</f>
        <v>28</v>
      </c>
      <c r="Z61" s="93"/>
      <c r="AA61" s="78">
        <v>2</v>
      </c>
      <c r="AB61" s="92">
        <f>K61</f>
        <v>29</v>
      </c>
      <c r="AC61" s="93"/>
      <c r="AD61" s="78">
        <v>2</v>
      </c>
      <c r="AE61" s="92">
        <f>N61</f>
        <v>30</v>
      </c>
      <c r="AF61" s="93"/>
    </row>
    <row r="62" spans="1:32" ht="6.75" customHeight="1" x14ac:dyDescent="0.15">
      <c r="B62" s="79"/>
      <c r="C62" s="80"/>
      <c r="D62" s="78"/>
      <c r="E62" s="79"/>
      <c r="F62" s="80"/>
      <c r="G62" s="78"/>
      <c r="H62" s="79"/>
      <c r="I62" s="80"/>
      <c r="J62" s="78"/>
      <c r="K62" s="79"/>
      <c r="L62" s="80"/>
      <c r="M62" s="78"/>
      <c r="N62" s="79"/>
      <c r="O62" s="80"/>
      <c r="R62" s="52"/>
      <c r="S62" s="81"/>
      <c r="T62" s="82"/>
      <c r="U62" s="78"/>
      <c r="V62" s="81"/>
      <c r="W62" s="82"/>
      <c r="X62" s="78"/>
      <c r="Y62" s="81"/>
      <c r="Z62" s="82"/>
      <c r="AA62" s="78"/>
      <c r="AB62" s="81"/>
      <c r="AC62" s="82"/>
      <c r="AD62" s="78"/>
      <c r="AE62" s="81"/>
      <c r="AF62" s="82"/>
    </row>
    <row r="63" spans="1:32" ht="19.5" customHeight="1" x14ac:dyDescent="0.15">
      <c r="B63" s="94" t="str">
        <f>'CAPACITOR-10-50pF'!B47</f>
        <v xml:space="preserve">C  STD  </v>
      </c>
      <c r="C63" s="102"/>
      <c r="E63" s="94" t="str">
        <f>'CAPACITOR-10-50pF'!E47</f>
        <v xml:space="preserve">C  STD  </v>
      </c>
      <c r="F63" s="102"/>
      <c r="H63" s="94" t="str">
        <f>'CAPACITOR-10-50pF'!H47</f>
        <v xml:space="preserve">C  STD  </v>
      </c>
      <c r="I63" s="102"/>
      <c r="K63" s="94" t="str">
        <f>'CAPACITOR-10-50pF'!K47</f>
        <v xml:space="preserve">C  STD  </v>
      </c>
      <c r="L63" s="102"/>
      <c r="N63" s="94" t="str">
        <f>'CAPACITOR-10-50pF'!N47</f>
        <v xml:space="preserve">C  STD  </v>
      </c>
      <c r="O63" s="102"/>
      <c r="Q63" s="58"/>
      <c r="R63" s="41">
        <v>1</v>
      </c>
      <c r="S63" s="100" t="str">
        <f>B63</f>
        <v xml:space="preserve">C  STD  </v>
      </c>
      <c r="T63" s="101"/>
      <c r="U63" s="46"/>
      <c r="V63" s="100" t="str">
        <f>E63</f>
        <v xml:space="preserve">C  STD  </v>
      </c>
      <c r="W63" s="101"/>
      <c r="X63" s="46"/>
      <c r="Y63" s="100" t="str">
        <f>H63</f>
        <v xml:space="preserve">C  STD  </v>
      </c>
      <c r="Z63" s="101"/>
      <c r="AA63" s="46"/>
      <c r="AB63" s="100" t="str">
        <f>K63</f>
        <v xml:space="preserve">C  STD  </v>
      </c>
      <c r="AC63" s="101"/>
      <c r="AD63" s="46"/>
      <c r="AE63" s="100" t="str">
        <f>N63</f>
        <v xml:space="preserve">C  STD  </v>
      </c>
      <c r="AF63" s="101"/>
    </row>
    <row r="64" spans="1:32" ht="19.5" customHeight="1" x14ac:dyDescent="0.15">
      <c r="B64" s="49" t="s">
        <v>0</v>
      </c>
      <c r="C64" s="50" t="str">
        <f>IF('CAPACITOR-10-50pF'!C48="","",'CAPACITOR-10-50pF'!C48)</f>
        <v/>
      </c>
      <c r="E64" s="49" t="s">
        <v>0</v>
      </c>
      <c r="F64" s="50" t="str">
        <f>IF('CAPACITOR-10-50pF'!F48="","",'CAPACITOR-10-50pF'!F48)</f>
        <v/>
      </c>
      <c r="H64" s="49" t="s">
        <v>0</v>
      </c>
      <c r="I64" s="50" t="str">
        <f>IF('CAPACITOR-10-50pF'!I48="","",'CAPACITOR-10-50pF'!I48)</f>
        <v/>
      </c>
      <c r="K64" s="49" t="s">
        <v>0</v>
      </c>
      <c r="L64" s="50" t="str">
        <f>IF('CAPACITOR-10-50pF'!L48="","",'CAPACITOR-10-50pF'!L48)</f>
        <v/>
      </c>
      <c r="N64" s="49" t="s">
        <v>0</v>
      </c>
      <c r="O64" s="50" t="str">
        <f>IF('CAPACITOR-10-50pF'!O48="","",'CAPACITOR-10-50pF'!O48)</f>
        <v/>
      </c>
      <c r="Q64" s="58"/>
      <c r="R64" s="52" t="str">
        <f>IF(T64&lt;&gt;"","1","")</f>
        <v/>
      </c>
      <c r="S64" s="49" t="s">
        <v>0</v>
      </c>
      <c r="T64" s="53" t="str">
        <f>C64</f>
        <v/>
      </c>
      <c r="U64" s="54"/>
      <c r="V64" s="49" t="s">
        <v>0</v>
      </c>
      <c r="W64" s="53" t="str">
        <f>F64</f>
        <v/>
      </c>
      <c r="X64" s="55"/>
      <c r="Y64" s="49" t="s">
        <v>0</v>
      </c>
      <c r="Z64" s="53" t="str">
        <f>I64</f>
        <v/>
      </c>
      <c r="AA64" s="55"/>
      <c r="AB64" s="49" t="s">
        <v>0</v>
      </c>
      <c r="AC64" s="53" t="str">
        <f>L64</f>
        <v/>
      </c>
      <c r="AD64" s="55"/>
      <c r="AE64" s="49" t="s">
        <v>0</v>
      </c>
      <c r="AF64" s="53" t="str">
        <f>O64</f>
        <v/>
      </c>
    </row>
    <row r="65" spans="1:32" ht="19.5" customHeight="1" x14ac:dyDescent="0.15">
      <c r="B65" s="49" t="s">
        <v>1</v>
      </c>
      <c r="C65" s="56" t="str">
        <f>IF('CAPACITOR-10-50pF'!C49="","",'CAPACITOR-10-50pF'!C49)</f>
        <v/>
      </c>
      <c r="D65" s="57"/>
      <c r="E65" s="49" t="s">
        <v>1</v>
      </c>
      <c r="F65" s="56" t="str">
        <f>IF('CAPACITOR-10-50pF'!F49="","",'CAPACITOR-10-50pF'!F49)</f>
        <v/>
      </c>
      <c r="G65" s="57"/>
      <c r="H65" s="49" t="s">
        <v>1</v>
      </c>
      <c r="I65" s="56" t="str">
        <f>IF('CAPACITOR-10-50pF'!I49="","",'CAPACITOR-10-50pF'!I49)</f>
        <v/>
      </c>
      <c r="J65" s="57"/>
      <c r="K65" s="49" t="s">
        <v>1</v>
      </c>
      <c r="L65" s="56" t="str">
        <f>IF('CAPACITOR-10-50pF'!L49="","",'CAPACITOR-10-50pF'!L49)</f>
        <v/>
      </c>
      <c r="M65" s="57"/>
      <c r="N65" s="49" t="s">
        <v>1</v>
      </c>
      <c r="O65" s="56" t="str">
        <f>IF('CAPACITOR-10-50pF'!O49="","",'CAPACITOR-10-50pF'!O49)</f>
        <v/>
      </c>
      <c r="Q65" s="58"/>
      <c r="R65" s="52" t="str">
        <f t="shared" ref="R65:R68" si="6">IF(T65&lt;&gt;"","1","")</f>
        <v/>
      </c>
      <c r="S65" s="49" t="s">
        <v>1</v>
      </c>
      <c r="T65" s="59" t="str">
        <f>IF(C65="","",ROUNDDOWN(C65,4))</f>
        <v/>
      </c>
      <c r="U65" s="60"/>
      <c r="V65" s="49" t="s">
        <v>1</v>
      </c>
      <c r="W65" s="59" t="str">
        <f>IF(F65="","",ROUNDDOWN(F65,4))</f>
        <v/>
      </c>
      <c r="X65" s="61"/>
      <c r="Y65" s="49" t="s">
        <v>1</v>
      </c>
      <c r="Z65" s="59" t="str">
        <f>IF(I65="","",ROUNDDOWN(I65,4))</f>
        <v/>
      </c>
      <c r="AA65" s="62"/>
      <c r="AB65" s="49" t="s">
        <v>1</v>
      </c>
      <c r="AC65" s="59" t="str">
        <f>IF(L65="","",ROUNDDOWN(L65,4))</f>
        <v/>
      </c>
      <c r="AD65" s="62"/>
      <c r="AE65" s="49" t="s">
        <v>1</v>
      </c>
      <c r="AF65" s="59" t="str">
        <f>IF(O65="","",ROUNDDOWN(O65,4))</f>
        <v/>
      </c>
    </row>
    <row r="66" spans="1:32" ht="27" customHeight="1" x14ac:dyDescent="0.15">
      <c r="B66" s="49" t="s">
        <v>34</v>
      </c>
      <c r="C66" s="63" t="str">
        <f>T66</f>
        <v/>
      </c>
      <c r="D66" s="57"/>
      <c r="E66" s="49" t="s">
        <v>34</v>
      </c>
      <c r="F66" s="63" t="str">
        <f>W66</f>
        <v/>
      </c>
      <c r="G66" s="57"/>
      <c r="H66" s="49" t="s">
        <v>34</v>
      </c>
      <c r="I66" s="63" t="str">
        <f>Z66</f>
        <v/>
      </c>
      <c r="J66" s="57"/>
      <c r="K66" s="49" t="s">
        <v>34</v>
      </c>
      <c r="L66" s="63" t="str">
        <f>AC66</f>
        <v/>
      </c>
      <c r="M66" s="57"/>
      <c r="N66" s="49" t="s">
        <v>34</v>
      </c>
      <c r="O66" s="63" t="str">
        <f>AF66</f>
        <v/>
      </c>
      <c r="R66" s="52" t="str">
        <f t="shared" si="6"/>
        <v/>
      </c>
      <c r="S66" s="64" t="s">
        <v>34</v>
      </c>
      <c r="T66" s="65" t="str">
        <f>IF(T65="","","*"&amp;T65&amp;"*")</f>
        <v/>
      </c>
      <c r="U66" s="66"/>
      <c r="V66" s="64" t="s">
        <v>34</v>
      </c>
      <c r="W66" s="65" t="str">
        <f>IF(W65="","","*"&amp;W65&amp;"*")</f>
        <v/>
      </c>
      <c r="X66" s="66"/>
      <c r="Y66" s="64" t="s">
        <v>34</v>
      </c>
      <c r="Z66" s="65" t="str">
        <f>IF(Z65="","","*"&amp;Z65&amp;"*")</f>
        <v/>
      </c>
      <c r="AA66" s="66"/>
      <c r="AB66" s="64" t="s">
        <v>34</v>
      </c>
      <c r="AC66" s="65" t="str">
        <f>IF(AC65="","","*"&amp;AC65&amp;"*")</f>
        <v/>
      </c>
      <c r="AD66" s="66"/>
      <c r="AE66" s="64" t="s">
        <v>34</v>
      </c>
      <c r="AF66" s="65" t="str">
        <f>IF(AF65="","","*"&amp;AF65&amp;"*")</f>
        <v/>
      </c>
    </row>
    <row r="67" spans="1:32" ht="20.100000000000001" customHeight="1" x14ac:dyDescent="0.15">
      <c r="B67" s="49" t="s">
        <v>2</v>
      </c>
      <c r="C67" s="67" t="str">
        <f>IF('CAPACITOR-10-50pF'!C50="","",'CAPACITOR-10-50pF'!C50)</f>
        <v/>
      </c>
      <c r="D67" s="57"/>
      <c r="E67" s="49" t="s">
        <v>2</v>
      </c>
      <c r="F67" s="67" t="str">
        <f>IF('CAPACITOR-10-50pF'!F50="","",'CAPACITOR-10-50pF'!F50)</f>
        <v/>
      </c>
      <c r="G67" s="57"/>
      <c r="H67" s="49" t="s">
        <v>2</v>
      </c>
      <c r="I67" s="67" t="str">
        <f>IF('CAPACITOR-10-50pF'!I50="","",'CAPACITOR-10-50pF'!I50)</f>
        <v/>
      </c>
      <c r="J67" s="57"/>
      <c r="K67" s="49" t="s">
        <v>2</v>
      </c>
      <c r="L67" s="67" t="str">
        <f>IF('CAPACITOR-10-50pF'!L50="","",'CAPACITOR-10-50pF'!L50)</f>
        <v/>
      </c>
      <c r="M67" s="57"/>
      <c r="N67" s="49" t="s">
        <v>2</v>
      </c>
      <c r="O67" s="67" t="str">
        <f>IF('CAPACITOR-10-50pF'!O50="","",'CAPACITOR-10-50pF'!O50)</f>
        <v/>
      </c>
      <c r="Q67" s="68"/>
      <c r="R67" s="52" t="str">
        <f t="shared" si="6"/>
        <v/>
      </c>
      <c r="S67" s="49" t="s">
        <v>2</v>
      </c>
      <c r="T67" s="69" t="str">
        <f>IF(C67="","",ROUNDDOWN((C67*100),4))</f>
        <v/>
      </c>
      <c r="U67" s="66"/>
      <c r="V67" s="49" t="s">
        <v>2</v>
      </c>
      <c r="W67" s="69" t="str">
        <f>IF(F67="","",ROUNDDOWN((F67*100),4))</f>
        <v/>
      </c>
      <c r="X67" s="66"/>
      <c r="Y67" s="49" t="s">
        <v>2</v>
      </c>
      <c r="Z67" s="69" t="str">
        <f>IF(I67="","",ROUNDDOWN((I67*100),4))</f>
        <v/>
      </c>
      <c r="AA67" s="66"/>
      <c r="AB67" s="49" t="s">
        <v>2</v>
      </c>
      <c r="AC67" s="69" t="str">
        <f>IF(L67="","",ROUNDDOWN((L67*100),4))</f>
        <v/>
      </c>
      <c r="AD67" s="66"/>
      <c r="AE67" s="49" t="s">
        <v>2</v>
      </c>
      <c r="AF67" s="69" t="str">
        <f>IF(O67="","",ROUNDDOWN((O67*100),4))</f>
        <v/>
      </c>
    </row>
    <row r="68" spans="1:32" ht="27" customHeight="1" x14ac:dyDescent="0.15">
      <c r="B68" s="49" t="s">
        <v>35</v>
      </c>
      <c r="C68" s="63" t="str">
        <f>T68</f>
        <v/>
      </c>
      <c r="D68" s="57"/>
      <c r="E68" s="49" t="s">
        <v>35</v>
      </c>
      <c r="F68" s="63" t="str">
        <f>W68</f>
        <v/>
      </c>
      <c r="G68" s="57"/>
      <c r="H68" s="49" t="s">
        <v>35</v>
      </c>
      <c r="I68" s="63" t="str">
        <f>Z68</f>
        <v/>
      </c>
      <c r="J68" s="57"/>
      <c r="K68" s="49" t="s">
        <v>35</v>
      </c>
      <c r="L68" s="63" t="str">
        <f>AC68</f>
        <v/>
      </c>
      <c r="M68" s="57"/>
      <c r="N68" s="49" t="s">
        <v>35</v>
      </c>
      <c r="O68" s="63" t="str">
        <f>AF68</f>
        <v/>
      </c>
      <c r="R68" s="52" t="str">
        <f t="shared" si="6"/>
        <v/>
      </c>
      <c r="S68" s="49" t="s">
        <v>35</v>
      </c>
      <c r="T68" s="70" t="str">
        <f>IF(T67="","","*"&amp;T67&amp;"*")</f>
        <v/>
      </c>
      <c r="U68" s="66"/>
      <c r="V68" s="49" t="s">
        <v>35</v>
      </c>
      <c r="W68" s="70" t="str">
        <f>IF(W67="","","*"&amp;W67&amp;"*")</f>
        <v/>
      </c>
      <c r="X68" s="66"/>
      <c r="Y68" s="49" t="s">
        <v>35</v>
      </c>
      <c r="Z68" s="70" t="str">
        <f>IF(Z67="","","*"&amp;Z67&amp;"*")</f>
        <v/>
      </c>
      <c r="AA68" s="66"/>
      <c r="AB68" s="49" t="s">
        <v>35</v>
      </c>
      <c r="AC68" s="70" t="str">
        <f>IF(AC67="","","*"&amp;AC67&amp;"*")</f>
        <v/>
      </c>
      <c r="AD68" s="66"/>
      <c r="AE68" s="49" t="s">
        <v>35</v>
      </c>
      <c r="AF68" s="70" t="str">
        <f>IF(AF67="","","*"&amp;AF67&amp;"*")</f>
        <v/>
      </c>
    </row>
    <row r="69" spans="1:32" ht="54.95" customHeight="1" x14ac:dyDescent="0.15">
      <c r="A69" s="71"/>
      <c r="B69" s="72" t="s">
        <v>3</v>
      </c>
      <c r="C69" s="49"/>
      <c r="D69" s="71"/>
      <c r="E69" s="72" t="s">
        <v>3</v>
      </c>
      <c r="F69" s="49"/>
      <c r="G69" s="71"/>
      <c r="H69" s="72" t="s">
        <v>3</v>
      </c>
      <c r="I69" s="49"/>
      <c r="J69" s="71"/>
      <c r="K69" s="72" t="s">
        <v>3</v>
      </c>
      <c r="L69" s="49"/>
      <c r="M69" s="71"/>
      <c r="N69" s="72" t="s">
        <v>3</v>
      </c>
      <c r="O69" s="49"/>
      <c r="P69" s="71"/>
      <c r="Q69" s="71"/>
      <c r="R69" s="73">
        <v>1</v>
      </c>
      <c r="S69" s="72" t="s">
        <v>3</v>
      </c>
      <c r="T69" s="75"/>
      <c r="U69" s="74"/>
      <c r="V69" s="72" t="s">
        <v>3</v>
      </c>
      <c r="W69" s="75"/>
      <c r="X69" s="74"/>
      <c r="Y69" s="72" t="s">
        <v>3</v>
      </c>
      <c r="Z69" s="75"/>
      <c r="AA69" s="74"/>
      <c r="AB69" s="72" t="s">
        <v>3</v>
      </c>
      <c r="AC69" s="75"/>
      <c r="AD69" s="74"/>
      <c r="AE69" s="72" t="s">
        <v>3</v>
      </c>
      <c r="AF69" s="75"/>
    </row>
    <row r="70" spans="1:32" ht="20.100000000000001" customHeight="1" x14ac:dyDescent="0.15">
      <c r="B70" s="49" t="s">
        <v>4</v>
      </c>
      <c r="C70" s="76" t="str">
        <f>'CAPACITOR-10-50pF'!C52</f>
        <v/>
      </c>
      <c r="E70" s="49" t="s">
        <v>4</v>
      </c>
      <c r="F70" s="76" t="str">
        <f>'CAPACITOR-10-50pF'!F52</f>
        <v/>
      </c>
      <c r="H70" s="49" t="s">
        <v>4</v>
      </c>
      <c r="I70" s="76" t="str">
        <f>'CAPACITOR-10-50pF'!I52</f>
        <v/>
      </c>
      <c r="K70" s="49" t="s">
        <v>4</v>
      </c>
      <c r="L70" s="76" t="str">
        <f>'CAPACITOR-10-50pF'!L52</f>
        <v/>
      </c>
      <c r="N70" s="49" t="s">
        <v>4</v>
      </c>
      <c r="O70" s="76" t="str">
        <f>'CAPACITOR-10-50pF'!O52</f>
        <v/>
      </c>
      <c r="R70" s="52">
        <v>1</v>
      </c>
      <c r="S70" s="49" t="s">
        <v>4</v>
      </c>
      <c r="T70" s="77" t="str">
        <f>IF(C70="","",C70)</f>
        <v/>
      </c>
      <c r="U70" s="54"/>
      <c r="V70" s="49" t="s">
        <v>4</v>
      </c>
      <c r="W70" s="77" t="str">
        <f>IF(F70="","",F70)</f>
        <v/>
      </c>
      <c r="X70" s="55"/>
      <c r="Y70" s="49" t="s">
        <v>4</v>
      </c>
      <c r="Z70" s="77" t="str">
        <f>IF(I70="","",I70)</f>
        <v/>
      </c>
      <c r="AA70" s="55"/>
      <c r="AB70" s="49" t="s">
        <v>4</v>
      </c>
      <c r="AC70" s="77" t="str">
        <f>IF(L70="","",L70)</f>
        <v/>
      </c>
      <c r="AD70" s="55"/>
      <c r="AE70" s="49" t="s">
        <v>4</v>
      </c>
      <c r="AF70" s="77" t="str">
        <f>IF(O70="","",O70)</f>
        <v/>
      </c>
    </row>
    <row r="71" spans="1:32" ht="20.100000000000001" customHeight="1" x14ac:dyDescent="0.15">
      <c r="B71" s="98">
        <v>31</v>
      </c>
      <c r="C71" s="99"/>
      <c r="D71" s="78">
        <v>1</v>
      </c>
      <c r="E71" s="98">
        <v>32</v>
      </c>
      <c r="F71" s="99"/>
      <c r="G71" s="78">
        <v>2</v>
      </c>
      <c r="H71" s="98">
        <v>33</v>
      </c>
      <c r="I71" s="99"/>
      <c r="J71" s="78">
        <v>2</v>
      </c>
      <c r="K71" s="98">
        <v>34</v>
      </c>
      <c r="L71" s="99"/>
      <c r="M71" s="78">
        <v>2</v>
      </c>
      <c r="N71" s="98">
        <v>35</v>
      </c>
      <c r="O71" s="99"/>
      <c r="Q71" s="58"/>
      <c r="R71" s="52" t="str">
        <f>IF(S71=1,"1","")</f>
        <v/>
      </c>
      <c r="S71" s="92">
        <f>B71</f>
        <v>31</v>
      </c>
      <c r="T71" s="93"/>
      <c r="U71" s="78">
        <v>1</v>
      </c>
      <c r="V71" s="92">
        <f>E71</f>
        <v>32</v>
      </c>
      <c r="W71" s="93"/>
      <c r="X71" s="78">
        <v>2</v>
      </c>
      <c r="Y71" s="92">
        <f>H71</f>
        <v>33</v>
      </c>
      <c r="Z71" s="93"/>
      <c r="AA71" s="78">
        <v>2</v>
      </c>
      <c r="AB71" s="92">
        <f>K71</f>
        <v>34</v>
      </c>
      <c r="AC71" s="93"/>
      <c r="AD71" s="78">
        <v>2</v>
      </c>
      <c r="AE71" s="92">
        <f>N71</f>
        <v>35</v>
      </c>
      <c r="AF71" s="93"/>
    </row>
    <row r="72" spans="1:32" ht="6.75" customHeight="1" x14ac:dyDescent="0.15">
      <c r="B72" s="79"/>
      <c r="C72" s="80"/>
      <c r="D72" s="78"/>
      <c r="E72" s="79"/>
      <c r="F72" s="80"/>
      <c r="G72" s="78"/>
      <c r="H72" s="79"/>
      <c r="I72" s="80"/>
      <c r="J72" s="78"/>
      <c r="K72" s="79"/>
      <c r="L72" s="80"/>
      <c r="M72" s="78"/>
      <c r="N72" s="79"/>
      <c r="O72" s="80"/>
      <c r="Q72" s="58"/>
      <c r="R72" s="52"/>
      <c r="S72" s="81"/>
      <c r="T72" s="82"/>
      <c r="U72" s="78"/>
      <c r="V72" s="81"/>
      <c r="W72" s="82"/>
      <c r="X72" s="78"/>
      <c r="Y72" s="81"/>
      <c r="Z72" s="82"/>
      <c r="AA72" s="78"/>
      <c r="AB72" s="81"/>
      <c r="AC72" s="82"/>
      <c r="AD72" s="78"/>
      <c r="AE72" s="81"/>
      <c r="AF72" s="82"/>
    </row>
    <row r="73" spans="1:32" ht="19.5" customHeight="1" x14ac:dyDescent="0.15">
      <c r="B73" s="94" t="str">
        <f>'CAPACITOR-10-50pF'!B54</f>
        <v xml:space="preserve">C  STD  </v>
      </c>
      <c r="C73" s="102"/>
      <c r="E73" s="94" t="str">
        <f>'CAPACITOR-10-50pF'!E54</f>
        <v xml:space="preserve">C  STD  </v>
      </c>
      <c r="F73" s="102"/>
      <c r="H73" s="94" t="str">
        <f>'CAPACITOR-10-50pF'!H54</f>
        <v xml:space="preserve">C  STD  </v>
      </c>
      <c r="I73" s="102"/>
      <c r="K73" s="94" t="str">
        <f>'CAPACITOR-10-50pF'!K54</f>
        <v xml:space="preserve">C  STD  </v>
      </c>
      <c r="L73" s="102"/>
      <c r="N73" s="94" t="str">
        <f>'CAPACITOR-10-50pF'!N54</f>
        <v xml:space="preserve">C  STD  </v>
      </c>
      <c r="O73" s="102"/>
      <c r="Q73" s="58"/>
      <c r="R73" s="41">
        <v>1</v>
      </c>
      <c r="S73" s="100" t="str">
        <f>B73</f>
        <v xml:space="preserve">C  STD  </v>
      </c>
      <c r="T73" s="101"/>
      <c r="U73" s="46"/>
      <c r="V73" s="100" t="str">
        <f>E73</f>
        <v xml:space="preserve">C  STD  </v>
      </c>
      <c r="W73" s="101"/>
      <c r="X73" s="46"/>
      <c r="Y73" s="100" t="str">
        <f>H73</f>
        <v xml:space="preserve">C  STD  </v>
      </c>
      <c r="Z73" s="101"/>
      <c r="AA73" s="46"/>
      <c r="AB73" s="100" t="str">
        <f>K73</f>
        <v xml:space="preserve">C  STD  </v>
      </c>
      <c r="AC73" s="101"/>
      <c r="AD73" s="46"/>
      <c r="AE73" s="100" t="str">
        <f>N73</f>
        <v xml:space="preserve">C  STD  </v>
      </c>
      <c r="AF73" s="101"/>
    </row>
    <row r="74" spans="1:32" ht="19.5" customHeight="1" x14ac:dyDescent="0.15">
      <c r="B74" s="49" t="s">
        <v>0</v>
      </c>
      <c r="C74" s="50" t="str">
        <f>IF('CAPACITOR-10-50pF'!C55="","",'CAPACITOR-10-50pF'!C55)</f>
        <v/>
      </c>
      <c r="E74" s="49" t="s">
        <v>0</v>
      </c>
      <c r="F74" s="50" t="str">
        <f>IF('CAPACITOR-10-50pF'!F55="","",'CAPACITOR-10-50pF'!F55)</f>
        <v/>
      </c>
      <c r="H74" s="49" t="s">
        <v>0</v>
      </c>
      <c r="I74" s="50" t="str">
        <f>IF('CAPACITOR-10-50pF'!I55="","",'CAPACITOR-10-50pF'!I55)</f>
        <v/>
      </c>
      <c r="K74" s="49" t="s">
        <v>0</v>
      </c>
      <c r="L74" s="50" t="str">
        <f>IF('CAPACITOR-10-50pF'!L55="","",'CAPACITOR-10-50pF'!L55)</f>
        <v/>
      </c>
      <c r="N74" s="49" t="s">
        <v>0</v>
      </c>
      <c r="O74" s="50" t="str">
        <f>IF('CAPACITOR-10-50pF'!O55="","",'CAPACITOR-10-50pF'!O55)</f>
        <v/>
      </c>
      <c r="Q74" s="58"/>
      <c r="R74" s="52" t="str">
        <f>IF(T74&lt;&gt;"","1","")</f>
        <v/>
      </c>
      <c r="S74" s="49" t="s">
        <v>0</v>
      </c>
      <c r="T74" s="53" t="str">
        <f>C74</f>
        <v/>
      </c>
      <c r="U74" s="54"/>
      <c r="V74" s="49" t="s">
        <v>0</v>
      </c>
      <c r="W74" s="53" t="str">
        <f>F74</f>
        <v/>
      </c>
      <c r="X74" s="55"/>
      <c r="Y74" s="49" t="s">
        <v>0</v>
      </c>
      <c r="Z74" s="53" t="str">
        <f>I74</f>
        <v/>
      </c>
      <c r="AA74" s="55"/>
      <c r="AB74" s="49" t="s">
        <v>0</v>
      </c>
      <c r="AC74" s="53" t="str">
        <f>L74</f>
        <v/>
      </c>
      <c r="AD74" s="55"/>
      <c r="AE74" s="49" t="s">
        <v>0</v>
      </c>
      <c r="AF74" s="53" t="str">
        <f>O74</f>
        <v/>
      </c>
    </row>
    <row r="75" spans="1:32" ht="19.5" customHeight="1" x14ac:dyDescent="0.15">
      <c r="B75" s="49" t="s">
        <v>1</v>
      </c>
      <c r="C75" s="56" t="str">
        <f>IF('CAPACITOR-10-50pF'!C56="","",'CAPACITOR-10-50pF'!C56)</f>
        <v/>
      </c>
      <c r="D75" s="57"/>
      <c r="E75" s="49" t="s">
        <v>1</v>
      </c>
      <c r="F75" s="56" t="str">
        <f>IF('CAPACITOR-10-50pF'!F56="","",'CAPACITOR-10-50pF'!F56)</f>
        <v/>
      </c>
      <c r="G75" s="57"/>
      <c r="H75" s="49" t="s">
        <v>1</v>
      </c>
      <c r="I75" s="56" t="str">
        <f>IF('CAPACITOR-10-50pF'!I56="","",'CAPACITOR-10-50pF'!I56)</f>
        <v/>
      </c>
      <c r="J75" s="57"/>
      <c r="K75" s="49" t="s">
        <v>1</v>
      </c>
      <c r="L75" s="56" t="str">
        <f>IF('CAPACITOR-10-50pF'!L56="","",'CAPACITOR-10-50pF'!L56)</f>
        <v/>
      </c>
      <c r="M75" s="57"/>
      <c r="N75" s="49" t="s">
        <v>1</v>
      </c>
      <c r="O75" s="56" t="str">
        <f>IF('CAPACITOR-10-50pF'!O56="","",'CAPACITOR-10-50pF'!O56)</f>
        <v/>
      </c>
      <c r="Q75" s="58"/>
      <c r="R75" s="52" t="str">
        <f t="shared" ref="R75:R78" si="7">IF(T75&lt;&gt;"","1","")</f>
        <v/>
      </c>
      <c r="S75" s="49" t="s">
        <v>1</v>
      </c>
      <c r="T75" s="59" t="str">
        <f>IF(C75="","",ROUNDDOWN(C75,4))</f>
        <v/>
      </c>
      <c r="U75" s="60"/>
      <c r="V75" s="49" t="s">
        <v>1</v>
      </c>
      <c r="W75" s="59" t="str">
        <f>IF(F75="","",ROUNDDOWN(F75,4))</f>
        <v/>
      </c>
      <c r="X75" s="61"/>
      <c r="Y75" s="49" t="s">
        <v>1</v>
      </c>
      <c r="Z75" s="59" t="str">
        <f>IF(I75="","",ROUNDDOWN(I75,4))</f>
        <v/>
      </c>
      <c r="AA75" s="62"/>
      <c r="AB75" s="49" t="s">
        <v>1</v>
      </c>
      <c r="AC75" s="59" t="str">
        <f>IF(L75="","",ROUNDDOWN(L75,4))</f>
        <v/>
      </c>
      <c r="AD75" s="62"/>
      <c r="AE75" s="49" t="s">
        <v>1</v>
      </c>
      <c r="AF75" s="59" t="str">
        <f>IF(O75="","",ROUNDDOWN(O75,4))</f>
        <v/>
      </c>
    </row>
    <row r="76" spans="1:32" ht="27" customHeight="1" x14ac:dyDescent="0.15">
      <c r="B76" s="49" t="s">
        <v>34</v>
      </c>
      <c r="C76" s="63" t="str">
        <f>T76</f>
        <v/>
      </c>
      <c r="D76" s="57"/>
      <c r="E76" s="49" t="s">
        <v>34</v>
      </c>
      <c r="F76" s="63" t="str">
        <f>W76</f>
        <v/>
      </c>
      <c r="G76" s="57"/>
      <c r="H76" s="49" t="s">
        <v>34</v>
      </c>
      <c r="I76" s="63" t="str">
        <f>Z76</f>
        <v/>
      </c>
      <c r="J76" s="57"/>
      <c r="K76" s="49" t="s">
        <v>34</v>
      </c>
      <c r="L76" s="63" t="str">
        <f>AC76</f>
        <v/>
      </c>
      <c r="M76" s="57"/>
      <c r="N76" s="49" t="s">
        <v>34</v>
      </c>
      <c r="O76" s="63" t="str">
        <f>AF76</f>
        <v/>
      </c>
      <c r="R76" s="52" t="str">
        <f t="shared" si="7"/>
        <v/>
      </c>
      <c r="S76" s="64" t="s">
        <v>34</v>
      </c>
      <c r="T76" s="65" t="str">
        <f>IF(T75="","","*"&amp;T75&amp;"*")</f>
        <v/>
      </c>
      <c r="U76" s="66"/>
      <c r="V76" s="64" t="s">
        <v>34</v>
      </c>
      <c r="W76" s="65" t="str">
        <f>IF(W75="","","*"&amp;W75&amp;"*")</f>
        <v/>
      </c>
      <c r="X76" s="66"/>
      <c r="Y76" s="64" t="s">
        <v>34</v>
      </c>
      <c r="Z76" s="65" t="str">
        <f>IF(Z75="","","*"&amp;Z75&amp;"*")</f>
        <v/>
      </c>
      <c r="AA76" s="66"/>
      <c r="AB76" s="64" t="s">
        <v>34</v>
      </c>
      <c r="AC76" s="65" t="str">
        <f>IF(AC75="","","*"&amp;AC75&amp;"*")</f>
        <v/>
      </c>
      <c r="AD76" s="66"/>
      <c r="AE76" s="64" t="s">
        <v>34</v>
      </c>
      <c r="AF76" s="65" t="str">
        <f>IF(AF75="","","*"&amp;AF75&amp;"*")</f>
        <v/>
      </c>
    </row>
    <row r="77" spans="1:32" ht="20.100000000000001" customHeight="1" x14ac:dyDescent="0.15">
      <c r="B77" s="49" t="s">
        <v>2</v>
      </c>
      <c r="C77" s="67" t="str">
        <f>IF('CAPACITOR-10-50pF'!C57="","",'CAPACITOR-10-50pF'!C57)</f>
        <v/>
      </c>
      <c r="D77" s="57"/>
      <c r="E77" s="49" t="s">
        <v>2</v>
      </c>
      <c r="F77" s="67" t="str">
        <f>IF('CAPACITOR-10-50pF'!F57="","",'CAPACITOR-10-50pF'!F57)</f>
        <v/>
      </c>
      <c r="G77" s="57"/>
      <c r="H77" s="49" t="s">
        <v>2</v>
      </c>
      <c r="I77" s="67" t="str">
        <f>IF('CAPACITOR-10-50pF'!I57="","",'CAPACITOR-10-50pF'!I57)</f>
        <v/>
      </c>
      <c r="J77" s="57"/>
      <c r="K77" s="49" t="s">
        <v>2</v>
      </c>
      <c r="L77" s="67" t="str">
        <f>IF('CAPACITOR-10-50pF'!L57="","",'CAPACITOR-10-50pF'!L57)</f>
        <v/>
      </c>
      <c r="M77" s="57"/>
      <c r="N77" s="49" t="s">
        <v>2</v>
      </c>
      <c r="O77" s="67" t="str">
        <f>IF('CAPACITOR-10-50pF'!O57="","",'CAPACITOR-10-50pF'!O57)</f>
        <v/>
      </c>
      <c r="Q77" s="68"/>
      <c r="R77" s="52" t="str">
        <f t="shared" si="7"/>
        <v/>
      </c>
      <c r="S77" s="49" t="s">
        <v>2</v>
      </c>
      <c r="T77" s="69" t="str">
        <f>IF(C77="","",ROUNDDOWN((C77*100),4))</f>
        <v/>
      </c>
      <c r="U77" s="66"/>
      <c r="V77" s="49" t="s">
        <v>2</v>
      </c>
      <c r="W77" s="69" t="str">
        <f>IF(F77="","",ROUNDDOWN((F77*100),4))</f>
        <v/>
      </c>
      <c r="X77" s="66"/>
      <c r="Y77" s="49" t="s">
        <v>2</v>
      </c>
      <c r="Z77" s="69" t="str">
        <f>IF(I77="","",ROUNDDOWN((I77*100),4))</f>
        <v/>
      </c>
      <c r="AA77" s="66"/>
      <c r="AB77" s="49" t="s">
        <v>2</v>
      </c>
      <c r="AC77" s="69" t="str">
        <f>IF(L77="","",ROUNDDOWN((L77*100),4))</f>
        <v/>
      </c>
      <c r="AD77" s="66"/>
      <c r="AE77" s="49" t="s">
        <v>2</v>
      </c>
      <c r="AF77" s="69" t="str">
        <f>IF(O77="","",ROUNDDOWN((O77*100),4))</f>
        <v/>
      </c>
    </row>
    <row r="78" spans="1:32" ht="27" customHeight="1" x14ac:dyDescent="0.15">
      <c r="B78" s="49" t="s">
        <v>35</v>
      </c>
      <c r="C78" s="63" t="str">
        <f>T78</f>
        <v/>
      </c>
      <c r="D78" s="57"/>
      <c r="E78" s="49" t="s">
        <v>35</v>
      </c>
      <c r="F78" s="63" t="str">
        <f>W78</f>
        <v/>
      </c>
      <c r="G78" s="57"/>
      <c r="H78" s="49" t="s">
        <v>35</v>
      </c>
      <c r="I78" s="63" t="str">
        <f>Z78</f>
        <v/>
      </c>
      <c r="J78" s="57"/>
      <c r="K78" s="49" t="s">
        <v>35</v>
      </c>
      <c r="L78" s="63" t="str">
        <f>AC78</f>
        <v/>
      </c>
      <c r="M78" s="57"/>
      <c r="N78" s="49" t="s">
        <v>35</v>
      </c>
      <c r="O78" s="63" t="str">
        <f>AF78</f>
        <v/>
      </c>
      <c r="R78" s="52" t="str">
        <f t="shared" si="7"/>
        <v/>
      </c>
      <c r="S78" s="49" t="s">
        <v>35</v>
      </c>
      <c r="T78" s="70" t="str">
        <f>IF(T77="","","*"&amp;T77&amp;"*")</f>
        <v/>
      </c>
      <c r="U78" s="66"/>
      <c r="V78" s="49" t="s">
        <v>35</v>
      </c>
      <c r="W78" s="70" t="str">
        <f>IF(W77="","","*"&amp;W77&amp;"*")</f>
        <v/>
      </c>
      <c r="X78" s="66"/>
      <c r="Y78" s="49" t="s">
        <v>35</v>
      </c>
      <c r="Z78" s="70" t="str">
        <f>IF(Z77="","","*"&amp;Z77&amp;"*")</f>
        <v/>
      </c>
      <c r="AA78" s="66"/>
      <c r="AB78" s="49" t="s">
        <v>35</v>
      </c>
      <c r="AC78" s="70" t="str">
        <f>IF(AC77="","","*"&amp;AC77&amp;"*")</f>
        <v/>
      </c>
      <c r="AD78" s="66"/>
      <c r="AE78" s="49" t="s">
        <v>35</v>
      </c>
      <c r="AF78" s="70" t="str">
        <f>IF(AF77="","","*"&amp;AF77&amp;"*")</f>
        <v/>
      </c>
    </row>
    <row r="79" spans="1:32" ht="54.95" customHeight="1" x14ac:dyDescent="0.15">
      <c r="A79" s="71"/>
      <c r="B79" s="72" t="s">
        <v>3</v>
      </c>
      <c r="C79" s="49"/>
      <c r="D79" s="71"/>
      <c r="E79" s="72" t="s">
        <v>3</v>
      </c>
      <c r="F79" s="49"/>
      <c r="G79" s="71"/>
      <c r="H79" s="72" t="s">
        <v>3</v>
      </c>
      <c r="I79" s="49"/>
      <c r="J79" s="71"/>
      <c r="K79" s="72" t="s">
        <v>3</v>
      </c>
      <c r="L79" s="49"/>
      <c r="M79" s="71"/>
      <c r="N79" s="72" t="s">
        <v>3</v>
      </c>
      <c r="O79" s="49"/>
      <c r="P79" s="71"/>
      <c r="Q79" s="71"/>
      <c r="R79" s="73">
        <v>1</v>
      </c>
      <c r="S79" s="72" t="s">
        <v>3</v>
      </c>
      <c r="T79" s="75"/>
      <c r="U79" s="74"/>
      <c r="V79" s="72" t="s">
        <v>3</v>
      </c>
      <c r="W79" s="75"/>
      <c r="X79" s="74"/>
      <c r="Y79" s="72" t="s">
        <v>3</v>
      </c>
      <c r="Z79" s="75"/>
      <c r="AA79" s="74"/>
      <c r="AB79" s="72" t="s">
        <v>3</v>
      </c>
      <c r="AC79" s="75"/>
      <c r="AD79" s="74"/>
      <c r="AE79" s="72" t="s">
        <v>3</v>
      </c>
      <c r="AF79" s="75"/>
    </row>
    <row r="80" spans="1:32" ht="20.100000000000001" customHeight="1" x14ac:dyDescent="0.15">
      <c r="B80" s="49" t="s">
        <v>4</v>
      </c>
      <c r="C80" s="76" t="str">
        <f>'CAPACITOR-10-50pF'!C59</f>
        <v/>
      </c>
      <c r="E80" s="49" t="s">
        <v>4</v>
      </c>
      <c r="F80" s="76" t="str">
        <f>'CAPACITOR-10-50pF'!F59</f>
        <v/>
      </c>
      <c r="H80" s="49" t="s">
        <v>4</v>
      </c>
      <c r="I80" s="76" t="str">
        <f>'CAPACITOR-10-50pF'!I59</f>
        <v/>
      </c>
      <c r="K80" s="49" t="s">
        <v>4</v>
      </c>
      <c r="L80" s="76" t="str">
        <f>'CAPACITOR-10-50pF'!L59</f>
        <v/>
      </c>
      <c r="N80" s="49" t="s">
        <v>4</v>
      </c>
      <c r="O80" s="76" t="str">
        <f>'CAPACITOR-10-50pF'!O59</f>
        <v/>
      </c>
      <c r="Q80" s="58"/>
      <c r="R80" s="52">
        <v>1</v>
      </c>
      <c r="S80" s="49" t="s">
        <v>4</v>
      </c>
      <c r="T80" s="77" t="str">
        <f>IF(C80="","",C80)</f>
        <v/>
      </c>
      <c r="U80" s="54"/>
      <c r="V80" s="49" t="s">
        <v>4</v>
      </c>
      <c r="W80" s="77" t="str">
        <f>IF(F80="","",F80)</f>
        <v/>
      </c>
      <c r="X80" s="55"/>
      <c r="Y80" s="49" t="s">
        <v>4</v>
      </c>
      <c r="Z80" s="77" t="str">
        <f>IF(I80="","",I80)</f>
        <v/>
      </c>
      <c r="AA80" s="55"/>
      <c r="AB80" s="49" t="s">
        <v>4</v>
      </c>
      <c r="AC80" s="77" t="str">
        <f>IF(L80="","",L80)</f>
        <v/>
      </c>
      <c r="AD80" s="55"/>
      <c r="AE80" s="49" t="s">
        <v>4</v>
      </c>
      <c r="AF80" s="77" t="str">
        <f>IF(O80="","",O80)</f>
        <v/>
      </c>
    </row>
    <row r="81" spans="1:32" ht="19.5" customHeight="1" x14ac:dyDescent="0.15">
      <c r="B81" s="98">
        <v>36</v>
      </c>
      <c r="C81" s="99"/>
      <c r="D81" s="78">
        <v>1</v>
      </c>
      <c r="E81" s="98">
        <v>37</v>
      </c>
      <c r="F81" s="99"/>
      <c r="G81" s="78">
        <v>2</v>
      </c>
      <c r="H81" s="98">
        <v>38</v>
      </c>
      <c r="I81" s="99"/>
      <c r="J81" s="78">
        <v>2</v>
      </c>
      <c r="K81" s="98">
        <v>39</v>
      </c>
      <c r="L81" s="99"/>
      <c r="M81" s="78">
        <v>2</v>
      </c>
      <c r="N81" s="98">
        <v>40</v>
      </c>
      <c r="O81" s="99"/>
      <c r="Q81" s="58"/>
      <c r="R81" s="52" t="str">
        <f>IF(S81=1,"1","")</f>
        <v/>
      </c>
      <c r="S81" s="92">
        <f>B81</f>
        <v>36</v>
      </c>
      <c r="T81" s="93"/>
      <c r="U81" s="78">
        <v>1</v>
      </c>
      <c r="V81" s="92">
        <f>E81</f>
        <v>37</v>
      </c>
      <c r="W81" s="93"/>
      <c r="X81" s="78">
        <v>2</v>
      </c>
      <c r="Y81" s="92">
        <f>H81</f>
        <v>38</v>
      </c>
      <c r="Z81" s="93"/>
      <c r="AA81" s="78">
        <v>2</v>
      </c>
      <c r="AB81" s="92">
        <f>K81</f>
        <v>39</v>
      </c>
      <c r="AC81" s="93"/>
      <c r="AD81" s="78">
        <v>2</v>
      </c>
      <c r="AE81" s="92">
        <f>N81</f>
        <v>40</v>
      </c>
      <c r="AF81" s="93"/>
    </row>
    <row r="82" spans="1:32" ht="6.6" customHeight="1" x14ac:dyDescent="0.15">
      <c r="B82" s="79"/>
      <c r="C82" s="80"/>
      <c r="D82" s="78"/>
      <c r="E82" s="79"/>
      <c r="F82" s="80"/>
      <c r="G82" s="78"/>
      <c r="H82" s="79"/>
      <c r="I82" s="80"/>
      <c r="J82" s="78"/>
      <c r="K82" s="79"/>
      <c r="L82" s="80"/>
      <c r="M82" s="78"/>
      <c r="N82" s="79"/>
      <c r="O82" s="80"/>
      <c r="Q82" s="58"/>
      <c r="R82" s="52"/>
      <c r="S82" s="79"/>
      <c r="T82" s="83"/>
      <c r="U82" s="84"/>
      <c r="V82" s="79"/>
      <c r="W82" s="83"/>
      <c r="X82" s="84"/>
      <c r="Y82" s="79"/>
      <c r="Z82" s="83"/>
      <c r="AA82" s="84"/>
      <c r="AB82" s="79"/>
      <c r="AC82" s="83"/>
      <c r="AD82" s="84"/>
      <c r="AE82" s="79"/>
      <c r="AF82" s="83"/>
    </row>
    <row r="83" spans="1:32" ht="6.6" customHeight="1" x14ac:dyDescent="0.15">
      <c r="B83" s="79"/>
      <c r="C83" s="80"/>
      <c r="D83" s="78"/>
      <c r="E83" s="79"/>
      <c r="F83" s="80"/>
      <c r="G83" s="78"/>
      <c r="H83" s="79"/>
      <c r="I83" s="80"/>
      <c r="J83" s="78"/>
      <c r="K83" s="79"/>
      <c r="L83" s="80"/>
      <c r="M83" s="78"/>
      <c r="N83" s="79"/>
      <c r="O83" s="80"/>
      <c r="Q83" s="58"/>
      <c r="R83" s="52"/>
      <c r="S83" s="79"/>
      <c r="T83" s="83"/>
      <c r="U83" s="79"/>
      <c r="V83" s="79"/>
      <c r="W83" s="83"/>
      <c r="X83" s="79"/>
      <c r="Y83" s="79"/>
      <c r="Z83" s="83"/>
      <c r="AA83" s="79"/>
      <c r="AB83" s="79"/>
      <c r="AC83" s="83"/>
      <c r="AD83" s="79"/>
      <c r="AE83" s="79"/>
      <c r="AF83" s="83"/>
    </row>
    <row r="84" spans="1:32" ht="19.5" customHeight="1" x14ac:dyDescent="0.15">
      <c r="B84" s="94" t="str">
        <f>'CAPACITOR-10-50pF'!B61</f>
        <v xml:space="preserve">C  STD  </v>
      </c>
      <c r="C84" s="102"/>
      <c r="E84" s="94" t="str">
        <f>'CAPACITOR-10-50pF'!E61</f>
        <v xml:space="preserve">C  STD  </v>
      </c>
      <c r="F84" s="102"/>
      <c r="H84" s="94" t="str">
        <f>'CAPACITOR-10-50pF'!H61</f>
        <v xml:space="preserve">C  STD  </v>
      </c>
      <c r="I84" s="102"/>
      <c r="K84" s="94" t="str">
        <f>'CAPACITOR-10-50pF'!K61</f>
        <v xml:space="preserve">C  STD  </v>
      </c>
      <c r="L84" s="102"/>
      <c r="N84" s="94" t="str">
        <f>'CAPACITOR-10-50pF'!N61</f>
        <v xml:space="preserve">C  STD  </v>
      </c>
      <c r="O84" s="102"/>
      <c r="Q84" s="58"/>
      <c r="R84" s="41">
        <v>1</v>
      </c>
      <c r="S84" s="103" t="str">
        <f>B84</f>
        <v xml:space="preserve">C  STD  </v>
      </c>
      <c r="T84" s="104"/>
      <c r="U84" s="46"/>
      <c r="V84" s="103" t="str">
        <f>E84</f>
        <v xml:space="preserve">C  STD  </v>
      </c>
      <c r="W84" s="104"/>
      <c r="X84" s="46"/>
      <c r="Y84" s="103" t="str">
        <f>H84</f>
        <v xml:space="preserve">C  STD  </v>
      </c>
      <c r="Z84" s="104"/>
      <c r="AA84" s="46"/>
      <c r="AB84" s="103" t="str">
        <f>K84</f>
        <v xml:space="preserve">C  STD  </v>
      </c>
      <c r="AC84" s="104"/>
      <c r="AD84" s="46"/>
      <c r="AE84" s="103" t="str">
        <f>N84</f>
        <v xml:space="preserve">C  STD  </v>
      </c>
      <c r="AF84" s="104"/>
    </row>
    <row r="85" spans="1:32" ht="19.5" customHeight="1" x14ac:dyDescent="0.15">
      <c r="B85" s="49" t="s">
        <v>0</v>
      </c>
      <c r="C85" s="50" t="str">
        <f>IF('CAPACITOR-10-50pF'!C62="","",'CAPACITOR-10-50pF'!C62)</f>
        <v/>
      </c>
      <c r="E85" s="49" t="s">
        <v>0</v>
      </c>
      <c r="F85" s="50" t="str">
        <f>IF('CAPACITOR-10-50pF'!F62="","",'CAPACITOR-10-50pF'!F62)</f>
        <v/>
      </c>
      <c r="H85" s="49" t="s">
        <v>0</v>
      </c>
      <c r="I85" s="50" t="str">
        <f>IF('CAPACITOR-10-50pF'!I62="","",'CAPACITOR-10-50pF'!I62)</f>
        <v/>
      </c>
      <c r="K85" s="49" t="s">
        <v>0</v>
      </c>
      <c r="L85" s="50" t="str">
        <f>IF('CAPACITOR-10-50pF'!L62="","",'CAPACITOR-10-50pF'!L62)</f>
        <v/>
      </c>
      <c r="N85" s="49" t="s">
        <v>0</v>
      </c>
      <c r="O85" s="50" t="str">
        <f>IF('CAPACITOR-10-50pF'!O62="","",'CAPACITOR-10-50pF'!O62)</f>
        <v/>
      </c>
      <c r="Q85" s="58"/>
      <c r="R85" s="52" t="str">
        <f>IF(T85&lt;&gt;"","1","")</f>
        <v/>
      </c>
      <c r="S85" s="49" t="s">
        <v>0</v>
      </c>
      <c r="T85" s="53" t="str">
        <f>C85</f>
        <v/>
      </c>
      <c r="U85" s="54"/>
      <c r="V85" s="49" t="s">
        <v>0</v>
      </c>
      <c r="W85" s="53" t="str">
        <f>F85</f>
        <v/>
      </c>
      <c r="X85" s="55"/>
      <c r="Y85" s="49" t="s">
        <v>0</v>
      </c>
      <c r="Z85" s="53" t="str">
        <f>I85</f>
        <v/>
      </c>
      <c r="AA85" s="55"/>
      <c r="AB85" s="49" t="s">
        <v>0</v>
      </c>
      <c r="AC85" s="53" t="str">
        <f>L85</f>
        <v/>
      </c>
      <c r="AD85" s="55"/>
      <c r="AE85" s="49" t="s">
        <v>0</v>
      </c>
      <c r="AF85" s="53" t="str">
        <f>O85</f>
        <v/>
      </c>
    </row>
    <row r="86" spans="1:32" ht="19.5" customHeight="1" x14ac:dyDescent="0.15">
      <c r="B86" s="49" t="s">
        <v>1</v>
      </c>
      <c r="C86" s="56" t="str">
        <f>IF('CAPACITOR-10-50pF'!C63="","",'CAPACITOR-10-50pF'!C63)</f>
        <v/>
      </c>
      <c r="D86" s="57"/>
      <c r="E86" s="49" t="s">
        <v>1</v>
      </c>
      <c r="F86" s="56" t="str">
        <f>IF('CAPACITOR-10-50pF'!F63="","",'CAPACITOR-10-50pF'!F63)</f>
        <v/>
      </c>
      <c r="G86" s="57"/>
      <c r="H86" s="49" t="s">
        <v>1</v>
      </c>
      <c r="I86" s="56" t="str">
        <f>IF('CAPACITOR-10-50pF'!I63="","",'CAPACITOR-10-50pF'!I63)</f>
        <v/>
      </c>
      <c r="J86" s="57"/>
      <c r="K86" s="49" t="s">
        <v>1</v>
      </c>
      <c r="L86" s="56" t="str">
        <f>IF('CAPACITOR-10-50pF'!L63="","",'CAPACITOR-10-50pF'!L63)</f>
        <v/>
      </c>
      <c r="M86" s="57"/>
      <c r="N86" s="49" t="s">
        <v>1</v>
      </c>
      <c r="O86" s="56" t="str">
        <f>IF('CAPACITOR-10-50pF'!O63="","",'CAPACITOR-10-50pF'!O63)</f>
        <v/>
      </c>
      <c r="Q86" s="58"/>
      <c r="R86" s="52" t="str">
        <f t="shared" ref="R86:R89" si="8">IF(T86&lt;&gt;"","1","")</f>
        <v/>
      </c>
      <c r="S86" s="49" t="s">
        <v>1</v>
      </c>
      <c r="T86" s="59" t="str">
        <f>IF(C86="","",ROUNDDOWN(C86,4))</f>
        <v/>
      </c>
      <c r="U86" s="60"/>
      <c r="V86" s="49" t="s">
        <v>1</v>
      </c>
      <c r="W86" s="59" t="str">
        <f>IF(F86="","",ROUNDDOWN(F86,4))</f>
        <v/>
      </c>
      <c r="X86" s="61"/>
      <c r="Y86" s="49" t="s">
        <v>1</v>
      </c>
      <c r="Z86" s="59" t="str">
        <f>IF(I86="","",ROUNDDOWN(I86,4))</f>
        <v/>
      </c>
      <c r="AA86" s="62"/>
      <c r="AB86" s="49" t="s">
        <v>1</v>
      </c>
      <c r="AC86" s="59" t="str">
        <f>IF(L86="","",ROUNDDOWN(L86,4))</f>
        <v/>
      </c>
      <c r="AD86" s="62"/>
      <c r="AE86" s="49" t="s">
        <v>1</v>
      </c>
      <c r="AF86" s="59" t="str">
        <f>IF(O86="","",ROUNDDOWN(O86,4))</f>
        <v/>
      </c>
    </row>
    <row r="87" spans="1:32" ht="27" customHeight="1" x14ac:dyDescent="0.15">
      <c r="B87" s="49" t="s">
        <v>34</v>
      </c>
      <c r="C87" s="63" t="str">
        <f>T87</f>
        <v/>
      </c>
      <c r="D87" s="57"/>
      <c r="E87" s="49" t="s">
        <v>34</v>
      </c>
      <c r="F87" s="63" t="str">
        <f>W87</f>
        <v/>
      </c>
      <c r="G87" s="57"/>
      <c r="H87" s="49" t="s">
        <v>34</v>
      </c>
      <c r="I87" s="63" t="str">
        <f>Z87</f>
        <v/>
      </c>
      <c r="J87" s="57"/>
      <c r="K87" s="49" t="s">
        <v>34</v>
      </c>
      <c r="L87" s="63" t="str">
        <f>AC87</f>
        <v/>
      </c>
      <c r="M87" s="57"/>
      <c r="N87" s="49" t="s">
        <v>34</v>
      </c>
      <c r="O87" s="63" t="str">
        <f>AF87</f>
        <v/>
      </c>
      <c r="R87" s="52" t="str">
        <f t="shared" si="8"/>
        <v/>
      </c>
      <c r="S87" s="64" t="s">
        <v>34</v>
      </c>
      <c r="T87" s="65" t="str">
        <f>IF(T86="","","*"&amp;T86&amp;"*")</f>
        <v/>
      </c>
      <c r="U87" s="66"/>
      <c r="V87" s="64" t="s">
        <v>34</v>
      </c>
      <c r="W87" s="65" t="str">
        <f>IF(W86="","","*"&amp;W86&amp;"*")</f>
        <v/>
      </c>
      <c r="X87" s="66"/>
      <c r="Y87" s="64" t="s">
        <v>34</v>
      </c>
      <c r="Z87" s="65" t="str">
        <f>IF(Z86="","","*"&amp;Z86&amp;"*")</f>
        <v/>
      </c>
      <c r="AA87" s="66"/>
      <c r="AB87" s="64" t="s">
        <v>34</v>
      </c>
      <c r="AC87" s="65" t="str">
        <f>IF(AC86="","","*"&amp;AC86&amp;"*")</f>
        <v/>
      </c>
      <c r="AD87" s="66"/>
      <c r="AE87" s="64" t="s">
        <v>34</v>
      </c>
      <c r="AF87" s="65" t="str">
        <f>IF(AF86="","","*"&amp;AF86&amp;"*")</f>
        <v/>
      </c>
    </row>
    <row r="88" spans="1:32" ht="20.100000000000001" customHeight="1" x14ac:dyDescent="0.15">
      <c r="B88" s="49" t="s">
        <v>2</v>
      </c>
      <c r="C88" s="67" t="str">
        <f>IF('CAPACITOR-10-50pF'!C64="","",'CAPACITOR-10-50pF'!C64)</f>
        <v/>
      </c>
      <c r="D88" s="57"/>
      <c r="E88" s="49" t="s">
        <v>2</v>
      </c>
      <c r="F88" s="67" t="str">
        <f>IF('CAPACITOR-10-50pF'!F64="","",'CAPACITOR-10-50pF'!F64)</f>
        <v/>
      </c>
      <c r="G88" s="57"/>
      <c r="H88" s="49" t="s">
        <v>2</v>
      </c>
      <c r="I88" s="67" t="str">
        <f>IF('CAPACITOR-10-50pF'!I64="","",'CAPACITOR-10-50pF'!I64)</f>
        <v/>
      </c>
      <c r="J88" s="57"/>
      <c r="K88" s="49" t="s">
        <v>2</v>
      </c>
      <c r="L88" s="67" t="str">
        <f>IF('CAPACITOR-10-50pF'!L64="","",'CAPACITOR-10-50pF'!L64)</f>
        <v/>
      </c>
      <c r="M88" s="57"/>
      <c r="N88" s="49" t="s">
        <v>2</v>
      </c>
      <c r="O88" s="67" t="str">
        <f>IF('CAPACITOR-10-50pF'!O64="","",'CAPACITOR-10-50pF'!O64)</f>
        <v/>
      </c>
      <c r="Q88" s="68"/>
      <c r="R88" s="52" t="str">
        <f t="shared" si="8"/>
        <v/>
      </c>
      <c r="S88" s="49" t="s">
        <v>2</v>
      </c>
      <c r="T88" s="69" t="str">
        <f>IF(C88="","",ROUNDDOWN((C88*100),4))</f>
        <v/>
      </c>
      <c r="U88" s="66"/>
      <c r="V88" s="49" t="s">
        <v>2</v>
      </c>
      <c r="W88" s="69" t="str">
        <f>IF(F88="","",ROUNDDOWN((F88*100),4))</f>
        <v/>
      </c>
      <c r="X88" s="66"/>
      <c r="Y88" s="49" t="s">
        <v>2</v>
      </c>
      <c r="Z88" s="69" t="str">
        <f>IF(I88="","",ROUNDDOWN((I88*100),4))</f>
        <v/>
      </c>
      <c r="AA88" s="66"/>
      <c r="AB88" s="49" t="s">
        <v>2</v>
      </c>
      <c r="AC88" s="69" t="str">
        <f>IF(L88="","",ROUNDDOWN((L88*100),4))</f>
        <v/>
      </c>
      <c r="AD88" s="66"/>
      <c r="AE88" s="49" t="s">
        <v>2</v>
      </c>
      <c r="AF88" s="69" t="str">
        <f>IF(O88="","",ROUNDDOWN((O88*100),4))</f>
        <v/>
      </c>
    </row>
    <row r="89" spans="1:32" ht="27" customHeight="1" x14ac:dyDescent="0.15">
      <c r="B89" s="49" t="s">
        <v>35</v>
      </c>
      <c r="C89" s="63" t="str">
        <f>T89</f>
        <v/>
      </c>
      <c r="D89" s="57"/>
      <c r="E89" s="49" t="s">
        <v>35</v>
      </c>
      <c r="F89" s="63" t="str">
        <f>W89</f>
        <v/>
      </c>
      <c r="G89" s="57"/>
      <c r="H89" s="49" t="s">
        <v>35</v>
      </c>
      <c r="I89" s="63" t="str">
        <f>Z89</f>
        <v/>
      </c>
      <c r="J89" s="57"/>
      <c r="K89" s="49" t="s">
        <v>35</v>
      </c>
      <c r="L89" s="63" t="str">
        <f>AC89</f>
        <v/>
      </c>
      <c r="M89" s="57"/>
      <c r="N89" s="49" t="s">
        <v>35</v>
      </c>
      <c r="O89" s="63" t="str">
        <f>AF89</f>
        <v/>
      </c>
      <c r="R89" s="52" t="str">
        <f t="shared" si="8"/>
        <v/>
      </c>
      <c r="S89" s="49" t="s">
        <v>35</v>
      </c>
      <c r="T89" s="70" t="str">
        <f>IF(T88="","","*"&amp;T88&amp;"*")</f>
        <v/>
      </c>
      <c r="U89" s="66"/>
      <c r="V89" s="49" t="s">
        <v>35</v>
      </c>
      <c r="W89" s="70" t="str">
        <f>IF(W88="","","*"&amp;W88&amp;"*")</f>
        <v/>
      </c>
      <c r="X89" s="66"/>
      <c r="Y89" s="49" t="s">
        <v>35</v>
      </c>
      <c r="Z89" s="70" t="str">
        <f>IF(Z88="","","*"&amp;Z88&amp;"*")</f>
        <v/>
      </c>
      <c r="AA89" s="66"/>
      <c r="AB89" s="49" t="s">
        <v>35</v>
      </c>
      <c r="AC89" s="70" t="str">
        <f>IF(AC88="","","*"&amp;AC88&amp;"*")</f>
        <v/>
      </c>
      <c r="AD89" s="66"/>
      <c r="AE89" s="49" t="s">
        <v>35</v>
      </c>
      <c r="AF89" s="70" t="str">
        <f>IF(AF88="","","*"&amp;AF88&amp;"*")</f>
        <v/>
      </c>
    </row>
    <row r="90" spans="1:32" ht="54.95" customHeight="1" x14ac:dyDescent="0.15">
      <c r="A90" s="71"/>
      <c r="B90" s="72" t="s">
        <v>3</v>
      </c>
      <c r="C90" s="49"/>
      <c r="D90" s="71"/>
      <c r="E90" s="72" t="s">
        <v>3</v>
      </c>
      <c r="F90" s="49"/>
      <c r="G90" s="71"/>
      <c r="H90" s="72" t="s">
        <v>3</v>
      </c>
      <c r="I90" s="49"/>
      <c r="J90" s="71"/>
      <c r="K90" s="72" t="s">
        <v>3</v>
      </c>
      <c r="L90" s="49"/>
      <c r="M90" s="71"/>
      <c r="N90" s="72" t="s">
        <v>3</v>
      </c>
      <c r="O90" s="49"/>
      <c r="P90" s="71"/>
      <c r="Q90" s="71"/>
      <c r="R90" s="73">
        <v>1</v>
      </c>
      <c r="S90" s="72" t="s">
        <v>3</v>
      </c>
      <c r="T90" s="75"/>
      <c r="U90" s="74"/>
      <c r="V90" s="72" t="s">
        <v>3</v>
      </c>
      <c r="W90" s="75"/>
      <c r="X90" s="74"/>
      <c r="Y90" s="72" t="s">
        <v>3</v>
      </c>
      <c r="Z90" s="75"/>
      <c r="AA90" s="74"/>
      <c r="AB90" s="72" t="s">
        <v>3</v>
      </c>
      <c r="AC90" s="75"/>
      <c r="AD90" s="74"/>
      <c r="AE90" s="72" t="s">
        <v>3</v>
      </c>
      <c r="AF90" s="75"/>
    </row>
    <row r="91" spans="1:32" ht="20.100000000000001" customHeight="1" x14ac:dyDescent="0.15">
      <c r="B91" s="49" t="s">
        <v>4</v>
      </c>
      <c r="C91" s="76" t="str">
        <f>'CAPACITOR-10-50pF'!C66</f>
        <v/>
      </c>
      <c r="E91" s="49" t="s">
        <v>4</v>
      </c>
      <c r="F91" s="76" t="str">
        <f>'CAPACITOR-10-50pF'!F66</f>
        <v/>
      </c>
      <c r="H91" s="49" t="s">
        <v>4</v>
      </c>
      <c r="I91" s="76" t="str">
        <f>'CAPACITOR-10-50pF'!I66</f>
        <v/>
      </c>
      <c r="K91" s="49" t="s">
        <v>4</v>
      </c>
      <c r="L91" s="76" t="str">
        <f>'CAPACITOR-10-50pF'!L66</f>
        <v/>
      </c>
      <c r="N91" s="49" t="s">
        <v>4</v>
      </c>
      <c r="O91" s="76" t="str">
        <f>'CAPACITOR-10-50pF'!O66</f>
        <v/>
      </c>
      <c r="R91" s="52">
        <v>1</v>
      </c>
      <c r="S91" s="49" t="s">
        <v>4</v>
      </c>
      <c r="T91" s="77" t="str">
        <f>IF(C91="","",C91)</f>
        <v/>
      </c>
      <c r="U91" s="54"/>
      <c r="V91" s="49" t="s">
        <v>4</v>
      </c>
      <c r="W91" s="77" t="str">
        <f>IF(F91="","",F91)</f>
        <v/>
      </c>
      <c r="X91" s="55"/>
      <c r="Y91" s="49" t="s">
        <v>4</v>
      </c>
      <c r="Z91" s="77" t="str">
        <f>IF(I91="","",I91)</f>
        <v/>
      </c>
      <c r="AA91" s="55"/>
      <c r="AB91" s="49" t="s">
        <v>4</v>
      </c>
      <c r="AC91" s="77" t="str">
        <f>IF(L91="","",L91)</f>
        <v/>
      </c>
      <c r="AD91" s="55"/>
      <c r="AE91" s="49" t="s">
        <v>4</v>
      </c>
      <c r="AF91" s="77" t="str">
        <f>IF(O91="","",O91)</f>
        <v/>
      </c>
    </row>
    <row r="92" spans="1:32" ht="20.100000000000001" customHeight="1" x14ac:dyDescent="0.15">
      <c r="B92" s="98">
        <v>41</v>
      </c>
      <c r="C92" s="99"/>
      <c r="D92" s="78">
        <v>1</v>
      </c>
      <c r="E92" s="98">
        <v>42</v>
      </c>
      <c r="F92" s="99"/>
      <c r="G92" s="78">
        <v>2</v>
      </c>
      <c r="H92" s="98">
        <v>43</v>
      </c>
      <c r="I92" s="99"/>
      <c r="J92" s="78">
        <v>2</v>
      </c>
      <c r="K92" s="98">
        <v>44</v>
      </c>
      <c r="L92" s="99"/>
      <c r="M92" s="78">
        <v>2</v>
      </c>
      <c r="N92" s="98">
        <v>45</v>
      </c>
      <c r="O92" s="99"/>
      <c r="R92" s="52" t="str">
        <f>IF(S92=1,"1","")</f>
        <v/>
      </c>
      <c r="S92" s="92">
        <f>B92</f>
        <v>41</v>
      </c>
      <c r="T92" s="93"/>
      <c r="U92" s="78">
        <v>1</v>
      </c>
      <c r="V92" s="92">
        <f>E92</f>
        <v>42</v>
      </c>
      <c r="W92" s="93"/>
      <c r="X92" s="78">
        <v>2</v>
      </c>
      <c r="Y92" s="92">
        <f>H92</f>
        <v>43</v>
      </c>
      <c r="Z92" s="93"/>
      <c r="AA92" s="78">
        <v>2</v>
      </c>
      <c r="AB92" s="92">
        <f>K92</f>
        <v>44</v>
      </c>
      <c r="AC92" s="93"/>
      <c r="AD92" s="78">
        <v>2</v>
      </c>
      <c r="AE92" s="92">
        <f>N92</f>
        <v>45</v>
      </c>
      <c r="AF92" s="93"/>
    </row>
    <row r="93" spans="1:32" ht="6.75" customHeight="1" x14ac:dyDescent="0.15">
      <c r="B93" s="79"/>
      <c r="C93" s="80"/>
      <c r="D93" s="78"/>
      <c r="E93" s="79"/>
      <c r="F93" s="80"/>
      <c r="G93" s="78"/>
      <c r="H93" s="79"/>
      <c r="I93" s="80"/>
      <c r="J93" s="78"/>
      <c r="K93" s="79"/>
      <c r="L93" s="80"/>
      <c r="M93" s="78"/>
      <c r="N93" s="79"/>
      <c r="O93" s="80"/>
      <c r="R93" s="52"/>
      <c r="S93" s="81"/>
      <c r="T93" s="82"/>
      <c r="U93" s="78"/>
      <c r="V93" s="81"/>
      <c r="W93" s="82"/>
      <c r="X93" s="78"/>
      <c r="Y93" s="81"/>
      <c r="Z93" s="82"/>
      <c r="AA93" s="78"/>
      <c r="AB93" s="81"/>
      <c r="AC93" s="82"/>
      <c r="AD93" s="78"/>
      <c r="AE93" s="81"/>
      <c r="AF93" s="82"/>
    </row>
    <row r="94" spans="1:32" ht="19.5" customHeight="1" x14ac:dyDescent="0.15">
      <c r="B94" s="94" t="str">
        <f>'CAPACITOR-10-50pF'!B68</f>
        <v xml:space="preserve">C  STD  </v>
      </c>
      <c r="C94" s="102"/>
      <c r="E94" s="94" t="str">
        <f>'CAPACITOR-10-50pF'!E68</f>
        <v xml:space="preserve">C  STD  </v>
      </c>
      <c r="F94" s="102"/>
      <c r="H94" s="94" t="str">
        <f>'CAPACITOR-10-50pF'!H68</f>
        <v xml:space="preserve">C  STD  </v>
      </c>
      <c r="I94" s="102"/>
      <c r="K94" s="94" t="str">
        <f>'CAPACITOR-10-50pF'!K68</f>
        <v xml:space="preserve">C  STD  </v>
      </c>
      <c r="L94" s="102"/>
      <c r="N94" s="94" t="str">
        <f>'CAPACITOR-10-50pF'!N68</f>
        <v xml:space="preserve">C  STD  </v>
      </c>
      <c r="O94" s="102"/>
      <c r="Q94" s="58"/>
      <c r="R94" s="41">
        <v>1</v>
      </c>
      <c r="S94" s="100" t="str">
        <f>B94</f>
        <v xml:space="preserve">C  STD  </v>
      </c>
      <c r="T94" s="101"/>
      <c r="U94" s="46"/>
      <c r="V94" s="100" t="str">
        <f>E94</f>
        <v xml:space="preserve">C  STD  </v>
      </c>
      <c r="W94" s="101"/>
      <c r="X94" s="46"/>
      <c r="Y94" s="100" t="str">
        <f>H94</f>
        <v xml:space="preserve">C  STD  </v>
      </c>
      <c r="Z94" s="101"/>
      <c r="AA94" s="46"/>
      <c r="AB94" s="100" t="str">
        <f>K94</f>
        <v xml:space="preserve">C  STD  </v>
      </c>
      <c r="AC94" s="101"/>
      <c r="AD94" s="46"/>
      <c r="AE94" s="100" t="str">
        <f>N94</f>
        <v xml:space="preserve">C  STD  </v>
      </c>
      <c r="AF94" s="101"/>
    </row>
    <row r="95" spans="1:32" ht="19.5" customHeight="1" x14ac:dyDescent="0.15">
      <c r="B95" s="49" t="s">
        <v>0</v>
      </c>
      <c r="C95" s="50" t="str">
        <f>IF('CAPACITOR-10-50pF'!C69="","",'CAPACITOR-10-50pF'!C69)</f>
        <v/>
      </c>
      <c r="E95" s="49" t="s">
        <v>0</v>
      </c>
      <c r="F95" s="50" t="str">
        <f>IF('CAPACITOR-10-50pF'!F69="","",'CAPACITOR-10-50pF'!F69)</f>
        <v/>
      </c>
      <c r="H95" s="49" t="s">
        <v>0</v>
      </c>
      <c r="I95" s="50" t="str">
        <f>IF('CAPACITOR-10-50pF'!I69="","",'CAPACITOR-10-50pF'!I69)</f>
        <v/>
      </c>
      <c r="K95" s="49" t="s">
        <v>0</v>
      </c>
      <c r="L95" s="50" t="str">
        <f>IF('CAPACITOR-10-50pF'!L69="","",'CAPACITOR-10-50pF'!L69)</f>
        <v/>
      </c>
      <c r="N95" s="49" t="s">
        <v>0</v>
      </c>
      <c r="O95" s="50" t="str">
        <f>IF('CAPACITOR-10-50pF'!O69="","",'CAPACITOR-10-50pF'!O69)</f>
        <v/>
      </c>
      <c r="Q95" s="58"/>
      <c r="R95" s="52" t="str">
        <f>IF(T95&lt;&gt;"","1","")</f>
        <v/>
      </c>
      <c r="S95" s="49" t="s">
        <v>0</v>
      </c>
      <c r="T95" s="53" t="str">
        <f>C95</f>
        <v/>
      </c>
      <c r="U95" s="54"/>
      <c r="V95" s="49" t="s">
        <v>0</v>
      </c>
      <c r="W95" s="53" t="str">
        <f>F95</f>
        <v/>
      </c>
      <c r="X95" s="55"/>
      <c r="Y95" s="49" t="s">
        <v>0</v>
      </c>
      <c r="Z95" s="53" t="str">
        <f>I95</f>
        <v/>
      </c>
      <c r="AA95" s="55"/>
      <c r="AB95" s="49" t="s">
        <v>0</v>
      </c>
      <c r="AC95" s="53" t="str">
        <f>L95</f>
        <v/>
      </c>
      <c r="AD95" s="55"/>
      <c r="AE95" s="49" t="s">
        <v>0</v>
      </c>
      <c r="AF95" s="53" t="str">
        <f>O95</f>
        <v/>
      </c>
    </row>
    <row r="96" spans="1:32" ht="19.5" customHeight="1" x14ac:dyDescent="0.15">
      <c r="B96" s="49" t="s">
        <v>1</v>
      </c>
      <c r="C96" s="56" t="str">
        <f>IF('CAPACITOR-10-50pF'!C70="","",'CAPACITOR-10-50pF'!C70)</f>
        <v/>
      </c>
      <c r="D96" s="57"/>
      <c r="E96" s="49" t="s">
        <v>1</v>
      </c>
      <c r="F96" s="56" t="str">
        <f>IF('CAPACITOR-10-50pF'!F70="","",'CAPACITOR-10-50pF'!F70)</f>
        <v/>
      </c>
      <c r="G96" s="57"/>
      <c r="H96" s="49" t="s">
        <v>1</v>
      </c>
      <c r="I96" s="56" t="str">
        <f>IF('CAPACITOR-10-50pF'!I70="","",'CAPACITOR-10-50pF'!I70)</f>
        <v/>
      </c>
      <c r="J96" s="57"/>
      <c r="K96" s="49" t="s">
        <v>1</v>
      </c>
      <c r="L96" s="56" t="str">
        <f>IF('CAPACITOR-10-50pF'!L70="","",'CAPACITOR-10-50pF'!L70)</f>
        <v/>
      </c>
      <c r="M96" s="57"/>
      <c r="N96" s="49" t="s">
        <v>1</v>
      </c>
      <c r="O96" s="56" t="str">
        <f>IF('CAPACITOR-10-50pF'!O70="","",'CAPACITOR-10-50pF'!O70)</f>
        <v/>
      </c>
      <c r="Q96" s="58"/>
      <c r="R96" s="52" t="str">
        <f t="shared" ref="R96:R99" si="9">IF(T96&lt;&gt;"","1","")</f>
        <v/>
      </c>
      <c r="S96" s="49" t="s">
        <v>1</v>
      </c>
      <c r="T96" s="59" t="str">
        <f>IF(C96="","",ROUNDDOWN(C96,4))</f>
        <v/>
      </c>
      <c r="U96" s="60"/>
      <c r="V96" s="49" t="s">
        <v>1</v>
      </c>
      <c r="W96" s="59" t="str">
        <f>IF(F96="","",ROUNDDOWN(F96,4))</f>
        <v/>
      </c>
      <c r="X96" s="61"/>
      <c r="Y96" s="49" t="s">
        <v>1</v>
      </c>
      <c r="Z96" s="59" t="str">
        <f>IF(I96="","",ROUNDDOWN(I96,4))</f>
        <v/>
      </c>
      <c r="AA96" s="62"/>
      <c r="AB96" s="49" t="s">
        <v>1</v>
      </c>
      <c r="AC96" s="59" t="str">
        <f>IF(L96="","",ROUNDDOWN(L96,4))</f>
        <v/>
      </c>
      <c r="AD96" s="62"/>
      <c r="AE96" s="49" t="s">
        <v>1</v>
      </c>
      <c r="AF96" s="59" t="str">
        <f>IF(O96="","",ROUNDDOWN(O96,4))</f>
        <v/>
      </c>
    </row>
    <row r="97" spans="1:32" ht="27" customHeight="1" x14ac:dyDescent="0.15">
      <c r="B97" s="49" t="s">
        <v>34</v>
      </c>
      <c r="C97" s="63" t="str">
        <f>T97</f>
        <v/>
      </c>
      <c r="D97" s="57"/>
      <c r="E97" s="49" t="s">
        <v>34</v>
      </c>
      <c r="F97" s="63" t="str">
        <f>W97</f>
        <v/>
      </c>
      <c r="G97" s="57"/>
      <c r="H97" s="49" t="s">
        <v>34</v>
      </c>
      <c r="I97" s="63" t="str">
        <f>Z97</f>
        <v/>
      </c>
      <c r="J97" s="57"/>
      <c r="K97" s="49" t="s">
        <v>34</v>
      </c>
      <c r="L97" s="63" t="str">
        <f>AC97</f>
        <v/>
      </c>
      <c r="M97" s="57"/>
      <c r="N97" s="49" t="s">
        <v>34</v>
      </c>
      <c r="O97" s="63" t="str">
        <f>AF97</f>
        <v/>
      </c>
      <c r="R97" s="52" t="str">
        <f t="shared" si="9"/>
        <v/>
      </c>
      <c r="S97" s="64" t="s">
        <v>34</v>
      </c>
      <c r="T97" s="65" t="str">
        <f>IF(T96="","","*"&amp;T96&amp;"*")</f>
        <v/>
      </c>
      <c r="U97" s="66"/>
      <c r="V97" s="64" t="s">
        <v>34</v>
      </c>
      <c r="W97" s="65" t="str">
        <f>IF(W96="","","*"&amp;W96&amp;"*")</f>
        <v/>
      </c>
      <c r="X97" s="66"/>
      <c r="Y97" s="64" t="s">
        <v>34</v>
      </c>
      <c r="Z97" s="65" t="str">
        <f>IF(Z96="","","*"&amp;Z96&amp;"*")</f>
        <v/>
      </c>
      <c r="AA97" s="66"/>
      <c r="AB97" s="64" t="s">
        <v>34</v>
      </c>
      <c r="AC97" s="65" t="str">
        <f>IF(AC96="","","*"&amp;AC96&amp;"*")</f>
        <v/>
      </c>
      <c r="AD97" s="66"/>
      <c r="AE97" s="64" t="s">
        <v>34</v>
      </c>
      <c r="AF97" s="65" t="str">
        <f>IF(AF96="","","*"&amp;AF96&amp;"*")</f>
        <v/>
      </c>
    </row>
    <row r="98" spans="1:32" ht="20.100000000000001" customHeight="1" x14ac:dyDescent="0.15">
      <c r="B98" s="49" t="s">
        <v>2</v>
      </c>
      <c r="C98" s="67" t="str">
        <f>IF('CAPACITOR-10-50pF'!C71="","",'CAPACITOR-10-50pF'!C71)</f>
        <v/>
      </c>
      <c r="D98" s="57"/>
      <c r="E98" s="49" t="s">
        <v>2</v>
      </c>
      <c r="F98" s="67" t="str">
        <f>IF('CAPACITOR-10-50pF'!F71="","",'CAPACITOR-10-50pF'!F71)</f>
        <v/>
      </c>
      <c r="G98" s="57"/>
      <c r="H98" s="49" t="s">
        <v>2</v>
      </c>
      <c r="I98" s="67" t="str">
        <f>IF('CAPACITOR-10-50pF'!I71="","",'CAPACITOR-10-50pF'!I71)</f>
        <v/>
      </c>
      <c r="J98" s="57"/>
      <c r="K98" s="49" t="s">
        <v>2</v>
      </c>
      <c r="L98" s="67" t="str">
        <f>IF('CAPACITOR-10-50pF'!L71="","",'CAPACITOR-10-50pF'!L71)</f>
        <v/>
      </c>
      <c r="M98" s="57"/>
      <c r="N98" s="49" t="s">
        <v>2</v>
      </c>
      <c r="O98" s="67" t="str">
        <f>IF('CAPACITOR-10-50pF'!O71="","",'CAPACITOR-10-50pF'!O71)</f>
        <v/>
      </c>
      <c r="Q98" s="68"/>
      <c r="R98" s="52" t="str">
        <f t="shared" si="9"/>
        <v/>
      </c>
      <c r="S98" s="49" t="s">
        <v>2</v>
      </c>
      <c r="T98" s="69" t="str">
        <f>IF(C98="","",ROUNDDOWN((C98*100),4))</f>
        <v/>
      </c>
      <c r="U98" s="66"/>
      <c r="V98" s="49" t="s">
        <v>2</v>
      </c>
      <c r="W98" s="69" t="str">
        <f>IF(F98="","",ROUNDDOWN((F98*100),4))</f>
        <v/>
      </c>
      <c r="X98" s="66"/>
      <c r="Y98" s="49" t="s">
        <v>2</v>
      </c>
      <c r="Z98" s="69" t="str">
        <f>IF(I98="","",ROUNDDOWN((I98*100),4))</f>
        <v/>
      </c>
      <c r="AA98" s="66"/>
      <c r="AB98" s="49" t="s">
        <v>2</v>
      </c>
      <c r="AC98" s="69" t="str">
        <f>IF(L98="","",ROUNDDOWN((L98*100),4))</f>
        <v/>
      </c>
      <c r="AD98" s="66"/>
      <c r="AE98" s="49" t="s">
        <v>2</v>
      </c>
      <c r="AF98" s="69" t="str">
        <f>IF(O98="","",ROUNDDOWN((O98*100),4))</f>
        <v/>
      </c>
    </row>
    <row r="99" spans="1:32" ht="27" customHeight="1" x14ac:dyDescent="0.15">
      <c r="B99" s="49" t="s">
        <v>35</v>
      </c>
      <c r="C99" s="63" t="str">
        <f>T99</f>
        <v/>
      </c>
      <c r="D99" s="57"/>
      <c r="E99" s="49" t="s">
        <v>35</v>
      </c>
      <c r="F99" s="63" t="str">
        <f>W99</f>
        <v/>
      </c>
      <c r="G99" s="57"/>
      <c r="H99" s="49" t="s">
        <v>35</v>
      </c>
      <c r="I99" s="63" t="str">
        <f>Z99</f>
        <v/>
      </c>
      <c r="J99" s="57"/>
      <c r="K99" s="49" t="s">
        <v>35</v>
      </c>
      <c r="L99" s="63" t="str">
        <f>AC99</f>
        <v/>
      </c>
      <c r="M99" s="57"/>
      <c r="N99" s="49" t="s">
        <v>35</v>
      </c>
      <c r="O99" s="63" t="str">
        <f>AF99</f>
        <v/>
      </c>
      <c r="R99" s="52" t="str">
        <f t="shared" si="9"/>
        <v/>
      </c>
      <c r="S99" s="49" t="s">
        <v>35</v>
      </c>
      <c r="T99" s="70" t="str">
        <f>IF(T98="","","*"&amp;T98&amp;"*")</f>
        <v/>
      </c>
      <c r="U99" s="66"/>
      <c r="V99" s="49" t="s">
        <v>35</v>
      </c>
      <c r="W99" s="70" t="str">
        <f>IF(W98="","","*"&amp;W98&amp;"*")</f>
        <v/>
      </c>
      <c r="X99" s="66"/>
      <c r="Y99" s="49" t="s">
        <v>35</v>
      </c>
      <c r="Z99" s="70" t="str">
        <f>IF(Z98="","","*"&amp;Z98&amp;"*")</f>
        <v/>
      </c>
      <c r="AA99" s="66"/>
      <c r="AB99" s="49" t="s">
        <v>35</v>
      </c>
      <c r="AC99" s="70" t="str">
        <f>IF(AC98="","","*"&amp;AC98&amp;"*")</f>
        <v/>
      </c>
      <c r="AD99" s="66"/>
      <c r="AE99" s="49" t="s">
        <v>35</v>
      </c>
      <c r="AF99" s="70" t="str">
        <f>IF(AF98="","","*"&amp;AF98&amp;"*")</f>
        <v/>
      </c>
    </row>
    <row r="100" spans="1:32" ht="54.95" customHeight="1" x14ac:dyDescent="0.15">
      <c r="A100" s="71"/>
      <c r="B100" s="72" t="s">
        <v>3</v>
      </c>
      <c r="C100" s="49"/>
      <c r="D100" s="71"/>
      <c r="E100" s="72" t="s">
        <v>3</v>
      </c>
      <c r="F100" s="49"/>
      <c r="G100" s="71"/>
      <c r="H100" s="72" t="s">
        <v>3</v>
      </c>
      <c r="I100" s="49"/>
      <c r="J100" s="71"/>
      <c r="K100" s="72" t="s">
        <v>3</v>
      </c>
      <c r="L100" s="49"/>
      <c r="M100" s="71"/>
      <c r="N100" s="72" t="s">
        <v>3</v>
      </c>
      <c r="O100" s="49"/>
      <c r="P100" s="71"/>
      <c r="Q100" s="71"/>
      <c r="R100" s="73">
        <v>1</v>
      </c>
      <c r="S100" s="72" t="s">
        <v>3</v>
      </c>
      <c r="T100" s="75"/>
      <c r="U100" s="74"/>
      <c r="V100" s="72" t="s">
        <v>3</v>
      </c>
      <c r="W100" s="75"/>
      <c r="X100" s="74"/>
      <c r="Y100" s="72" t="s">
        <v>3</v>
      </c>
      <c r="Z100" s="75"/>
      <c r="AA100" s="74"/>
      <c r="AB100" s="72" t="s">
        <v>3</v>
      </c>
      <c r="AC100" s="75"/>
      <c r="AD100" s="74"/>
      <c r="AE100" s="72" t="s">
        <v>3</v>
      </c>
      <c r="AF100" s="75"/>
    </row>
    <row r="101" spans="1:32" ht="20.100000000000001" customHeight="1" x14ac:dyDescent="0.15">
      <c r="B101" s="49" t="s">
        <v>4</v>
      </c>
      <c r="C101" s="76" t="str">
        <f>'CAPACITOR-10-50pF'!C73</f>
        <v/>
      </c>
      <c r="E101" s="49" t="s">
        <v>4</v>
      </c>
      <c r="F101" s="76" t="str">
        <f>'CAPACITOR-10-50pF'!F73</f>
        <v/>
      </c>
      <c r="H101" s="49" t="s">
        <v>4</v>
      </c>
      <c r="I101" s="76" t="str">
        <f>'CAPACITOR-10-50pF'!I73</f>
        <v/>
      </c>
      <c r="K101" s="49" t="s">
        <v>4</v>
      </c>
      <c r="L101" s="76" t="str">
        <f>'CAPACITOR-10-50pF'!L73</f>
        <v/>
      </c>
      <c r="N101" s="49" t="s">
        <v>4</v>
      </c>
      <c r="O101" s="76" t="str">
        <f>'CAPACITOR-10-50pF'!O73</f>
        <v/>
      </c>
      <c r="R101" s="52">
        <v>1</v>
      </c>
      <c r="S101" s="49" t="s">
        <v>4</v>
      </c>
      <c r="T101" s="77" t="str">
        <f>IF(C101="","",C101)</f>
        <v/>
      </c>
      <c r="U101" s="54"/>
      <c r="V101" s="49" t="s">
        <v>4</v>
      </c>
      <c r="W101" s="77" t="str">
        <f>IF(F101="","",F101)</f>
        <v/>
      </c>
      <c r="X101" s="55"/>
      <c r="Y101" s="49" t="s">
        <v>4</v>
      </c>
      <c r="Z101" s="77" t="str">
        <f>IF(I101="","",I101)</f>
        <v/>
      </c>
      <c r="AA101" s="55"/>
      <c r="AB101" s="49" t="s">
        <v>4</v>
      </c>
      <c r="AC101" s="77" t="str">
        <f>IF(L101="","",L101)</f>
        <v/>
      </c>
      <c r="AD101" s="55"/>
      <c r="AE101" s="49" t="s">
        <v>4</v>
      </c>
      <c r="AF101" s="77" t="str">
        <f>IF(O101="","",O101)</f>
        <v/>
      </c>
    </row>
    <row r="102" spans="1:32" ht="20.100000000000001" customHeight="1" x14ac:dyDescent="0.15">
      <c r="B102" s="98">
        <v>46</v>
      </c>
      <c r="C102" s="99"/>
      <c r="D102" s="78">
        <v>1</v>
      </c>
      <c r="E102" s="98">
        <v>47</v>
      </c>
      <c r="F102" s="99"/>
      <c r="G102" s="78">
        <v>2</v>
      </c>
      <c r="H102" s="98">
        <v>48</v>
      </c>
      <c r="I102" s="99"/>
      <c r="J102" s="78">
        <v>2</v>
      </c>
      <c r="K102" s="98">
        <v>49</v>
      </c>
      <c r="L102" s="99"/>
      <c r="M102" s="78"/>
      <c r="N102" s="98">
        <v>50</v>
      </c>
      <c r="O102" s="99"/>
      <c r="Q102" s="58"/>
      <c r="R102" s="52" t="str">
        <f>IF(S102=1,"1","")</f>
        <v/>
      </c>
      <c r="S102" s="92">
        <f>B102</f>
        <v>46</v>
      </c>
      <c r="T102" s="93"/>
      <c r="U102" s="78">
        <v>1</v>
      </c>
      <c r="V102" s="92">
        <f>E102</f>
        <v>47</v>
      </c>
      <c r="W102" s="93"/>
      <c r="X102" s="78">
        <v>2</v>
      </c>
      <c r="Y102" s="92">
        <f>H102</f>
        <v>48</v>
      </c>
      <c r="Z102" s="93"/>
      <c r="AA102" s="78">
        <v>2</v>
      </c>
      <c r="AB102" s="92">
        <f>K102</f>
        <v>49</v>
      </c>
      <c r="AC102" s="93"/>
      <c r="AD102" s="78">
        <v>2</v>
      </c>
      <c r="AE102" s="92">
        <f>N102</f>
        <v>50</v>
      </c>
      <c r="AF102" s="93"/>
    </row>
    <row r="103" spans="1:32" ht="6.75" customHeight="1" x14ac:dyDescent="0.15">
      <c r="B103" s="79"/>
      <c r="C103" s="80"/>
      <c r="D103" s="78"/>
      <c r="E103" s="79"/>
      <c r="F103" s="80"/>
      <c r="G103" s="78"/>
      <c r="H103" s="79"/>
      <c r="I103" s="80"/>
      <c r="J103" s="78"/>
      <c r="K103" s="79"/>
      <c r="L103" s="80"/>
      <c r="M103" s="78"/>
      <c r="N103" s="79"/>
      <c r="O103" s="80"/>
      <c r="Q103" s="58"/>
      <c r="R103" s="52"/>
      <c r="S103" s="81"/>
      <c r="T103" s="82"/>
      <c r="U103" s="78"/>
      <c r="V103" s="81"/>
      <c r="W103" s="82"/>
      <c r="X103" s="78"/>
      <c r="Y103" s="81"/>
      <c r="Z103" s="82"/>
      <c r="AA103" s="78"/>
      <c r="AB103" s="81"/>
      <c r="AC103" s="82"/>
      <c r="AD103" s="78"/>
      <c r="AE103" s="81"/>
      <c r="AF103" s="82"/>
    </row>
    <row r="104" spans="1:32" ht="19.5" customHeight="1" x14ac:dyDescent="0.15">
      <c r="B104" s="94" t="str">
        <f>'CAPACITOR-10-50pF'!B75</f>
        <v xml:space="preserve">C  STD  </v>
      </c>
      <c r="C104" s="95"/>
      <c r="E104" s="94" t="str">
        <f>'CAPACITOR-10-50pF'!E75</f>
        <v xml:space="preserve">C  STD  </v>
      </c>
      <c r="F104" s="95"/>
      <c r="H104" s="94" t="str">
        <f>'CAPACITOR-10-50pF'!H75</f>
        <v xml:space="preserve">C  STD  </v>
      </c>
      <c r="I104" s="95"/>
      <c r="K104" s="94" t="str">
        <f>'CAPACITOR-10-50pF'!K75</f>
        <v xml:space="preserve">C  STD  </v>
      </c>
      <c r="L104" s="95"/>
      <c r="N104" s="94" t="str">
        <f>'CAPACITOR-10-50pF'!N75</f>
        <v xml:space="preserve">C  STD  </v>
      </c>
      <c r="O104" s="95"/>
      <c r="Q104" s="58"/>
      <c r="R104" s="41">
        <v>1</v>
      </c>
      <c r="S104" s="100" t="str">
        <f>B104</f>
        <v xml:space="preserve">C  STD  </v>
      </c>
      <c r="T104" s="101"/>
      <c r="U104" s="46"/>
      <c r="V104" s="100" t="str">
        <f>E104</f>
        <v xml:space="preserve">C  STD  </v>
      </c>
      <c r="W104" s="101"/>
      <c r="X104" s="46"/>
      <c r="Y104" s="100" t="str">
        <f>H104</f>
        <v xml:space="preserve">C  STD  </v>
      </c>
      <c r="Z104" s="101"/>
      <c r="AA104" s="46"/>
      <c r="AB104" s="100" t="str">
        <f>K104</f>
        <v xml:space="preserve">C  STD  </v>
      </c>
      <c r="AC104" s="101"/>
      <c r="AD104" s="46"/>
      <c r="AE104" s="100" t="str">
        <f>N104</f>
        <v xml:space="preserve">C  STD  </v>
      </c>
      <c r="AF104" s="101"/>
    </row>
    <row r="105" spans="1:32" ht="19.5" customHeight="1" x14ac:dyDescent="0.15">
      <c r="B105" s="49" t="s">
        <v>0</v>
      </c>
      <c r="C105" s="50" t="str">
        <f>IF('CAPACITOR-10-50pF'!C76="","",'CAPACITOR-10-50pF'!C76)</f>
        <v/>
      </c>
      <c r="E105" s="49" t="s">
        <v>0</v>
      </c>
      <c r="F105" s="50" t="str">
        <f>IF('CAPACITOR-10-50pF'!F76="","",'CAPACITOR-10-50pF'!F76)</f>
        <v/>
      </c>
      <c r="H105" s="49" t="s">
        <v>0</v>
      </c>
      <c r="I105" s="50" t="str">
        <f>IF('CAPACITOR-10-50pF'!I76="","",'CAPACITOR-10-50pF'!I76)</f>
        <v/>
      </c>
      <c r="K105" s="49" t="s">
        <v>0</v>
      </c>
      <c r="L105" s="50" t="str">
        <f>IF('CAPACITOR-10-50pF'!L76="","",'CAPACITOR-10-50pF'!L76)</f>
        <v/>
      </c>
      <c r="N105" s="49" t="s">
        <v>0</v>
      </c>
      <c r="O105" s="50" t="str">
        <f>IF('CAPACITOR-10-50pF'!O76="","",'CAPACITOR-10-50pF'!O76)</f>
        <v/>
      </c>
      <c r="Q105" s="58"/>
      <c r="R105" s="52" t="str">
        <f>IF(T105&lt;&gt;"","1","")</f>
        <v/>
      </c>
      <c r="S105" s="49" t="s">
        <v>0</v>
      </c>
      <c r="T105" s="53" t="str">
        <f>C105</f>
        <v/>
      </c>
      <c r="U105" s="54"/>
      <c r="V105" s="49" t="s">
        <v>0</v>
      </c>
      <c r="W105" s="53" t="str">
        <f>F105</f>
        <v/>
      </c>
      <c r="X105" s="55"/>
      <c r="Y105" s="49" t="s">
        <v>0</v>
      </c>
      <c r="Z105" s="53" t="str">
        <f>I105</f>
        <v/>
      </c>
      <c r="AA105" s="55"/>
      <c r="AB105" s="49" t="s">
        <v>0</v>
      </c>
      <c r="AC105" s="53" t="str">
        <f>L105</f>
        <v/>
      </c>
      <c r="AD105" s="55"/>
      <c r="AE105" s="49" t="s">
        <v>0</v>
      </c>
      <c r="AF105" s="53" t="str">
        <f>O105</f>
        <v/>
      </c>
    </row>
    <row r="106" spans="1:32" ht="19.5" customHeight="1" x14ac:dyDescent="0.15">
      <c r="B106" s="49" t="s">
        <v>1</v>
      </c>
      <c r="C106" s="56" t="str">
        <f>IF('CAPACITOR-10-50pF'!C77="","",'CAPACITOR-10-50pF'!C77)</f>
        <v/>
      </c>
      <c r="D106" s="57"/>
      <c r="E106" s="49" t="s">
        <v>1</v>
      </c>
      <c r="F106" s="56" t="str">
        <f>IF('CAPACITOR-10-50pF'!F77="","",'CAPACITOR-10-50pF'!F77)</f>
        <v/>
      </c>
      <c r="G106" s="57"/>
      <c r="H106" s="49" t="s">
        <v>1</v>
      </c>
      <c r="I106" s="56" t="str">
        <f>IF('CAPACITOR-10-50pF'!I77="","",'CAPACITOR-10-50pF'!I77)</f>
        <v/>
      </c>
      <c r="J106" s="57"/>
      <c r="K106" s="49" t="s">
        <v>1</v>
      </c>
      <c r="L106" s="56" t="str">
        <f>IF('CAPACITOR-10-50pF'!L77="","",'CAPACITOR-10-50pF'!L77)</f>
        <v/>
      </c>
      <c r="M106" s="57"/>
      <c r="N106" s="49" t="s">
        <v>1</v>
      </c>
      <c r="O106" s="56" t="str">
        <f>IF('CAPACITOR-10-50pF'!O77="","",'CAPACITOR-10-50pF'!O77)</f>
        <v/>
      </c>
      <c r="Q106" s="58"/>
      <c r="R106" s="52" t="str">
        <f t="shared" ref="R106:R109" si="10">IF(T106&lt;&gt;"","1","")</f>
        <v/>
      </c>
      <c r="S106" s="49" t="s">
        <v>1</v>
      </c>
      <c r="T106" s="59" t="str">
        <f>IF(C106="","",ROUNDDOWN(C106,4))</f>
        <v/>
      </c>
      <c r="U106" s="60"/>
      <c r="V106" s="49" t="s">
        <v>1</v>
      </c>
      <c r="W106" s="59" t="str">
        <f>IF(F106="","",ROUNDDOWN(F106,4))</f>
        <v/>
      </c>
      <c r="X106" s="61"/>
      <c r="Y106" s="49" t="s">
        <v>1</v>
      </c>
      <c r="Z106" s="59" t="str">
        <f>IF(I106="","",ROUNDDOWN(I106,4))</f>
        <v/>
      </c>
      <c r="AA106" s="62"/>
      <c r="AB106" s="49" t="s">
        <v>1</v>
      </c>
      <c r="AC106" s="59" t="str">
        <f>IF(L106="","",ROUNDDOWN(L106,4))</f>
        <v/>
      </c>
      <c r="AD106" s="62"/>
      <c r="AE106" s="49" t="s">
        <v>1</v>
      </c>
      <c r="AF106" s="59" t="str">
        <f>IF(O106="","",ROUNDDOWN(O106,4))</f>
        <v/>
      </c>
    </row>
    <row r="107" spans="1:32" ht="27" customHeight="1" x14ac:dyDescent="0.15">
      <c r="B107" s="49" t="s">
        <v>34</v>
      </c>
      <c r="C107" s="63" t="str">
        <f>T107</f>
        <v/>
      </c>
      <c r="D107" s="57"/>
      <c r="E107" s="49" t="s">
        <v>34</v>
      </c>
      <c r="F107" s="63" t="str">
        <f>W107</f>
        <v/>
      </c>
      <c r="G107" s="57"/>
      <c r="H107" s="49" t="s">
        <v>34</v>
      </c>
      <c r="I107" s="63" t="str">
        <f>Z107</f>
        <v/>
      </c>
      <c r="J107" s="57"/>
      <c r="K107" s="49" t="s">
        <v>34</v>
      </c>
      <c r="L107" s="63" t="str">
        <f>AC107</f>
        <v/>
      </c>
      <c r="M107" s="57"/>
      <c r="N107" s="49" t="s">
        <v>34</v>
      </c>
      <c r="O107" s="63" t="str">
        <f>AF107</f>
        <v/>
      </c>
      <c r="R107" s="52" t="str">
        <f t="shared" si="10"/>
        <v/>
      </c>
      <c r="S107" s="64" t="s">
        <v>34</v>
      </c>
      <c r="T107" s="65" t="str">
        <f>IF(T106="","","*"&amp;T106&amp;"*")</f>
        <v/>
      </c>
      <c r="U107" s="66"/>
      <c r="V107" s="64" t="s">
        <v>34</v>
      </c>
      <c r="W107" s="65" t="str">
        <f>IF(W106="","","*"&amp;W106&amp;"*")</f>
        <v/>
      </c>
      <c r="X107" s="66"/>
      <c r="Y107" s="64" t="s">
        <v>34</v>
      </c>
      <c r="Z107" s="65" t="str">
        <f>IF(Z106="","","*"&amp;Z106&amp;"*")</f>
        <v/>
      </c>
      <c r="AA107" s="66"/>
      <c r="AB107" s="64" t="s">
        <v>34</v>
      </c>
      <c r="AC107" s="65" t="str">
        <f>IF(AC106="","","*"&amp;AC106&amp;"*")</f>
        <v/>
      </c>
      <c r="AD107" s="66"/>
      <c r="AE107" s="64" t="s">
        <v>34</v>
      </c>
      <c r="AF107" s="65" t="str">
        <f>IF(AF106="","","*"&amp;AF106&amp;"*")</f>
        <v/>
      </c>
    </row>
    <row r="108" spans="1:32" ht="20.100000000000001" customHeight="1" x14ac:dyDescent="0.15">
      <c r="B108" s="49" t="s">
        <v>2</v>
      </c>
      <c r="C108" s="67" t="str">
        <f>IF('CAPACITOR-10-50pF'!C78="","",'CAPACITOR-10-50pF'!C78)</f>
        <v/>
      </c>
      <c r="D108" s="57"/>
      <c r="E108" s="49" t="s">
        <v>2</v>
      </c>
      <c r="F108" s="67" t="str">
        <f>IF('CAPACITOR-10-50pF'!F78="","",'CAPACITOR-10-50pF'!F78)</f>
        <v/>
      </c>
      <c r="G108" s="57"/>
      <c r="H108" s="49" t="s">
        <v>2</v>
      </c>
      <c r="I108" s="67" t="str">
        <f>IF('CAPACITOR-10-50pF'!I78="","",'CAPACITOR-10-50pF'!I78)</f>
        <v/>
      </c>
      <c r="J108" s="57"/>
      <c r="K108" s="49" t="s">
        <v>2</v>
      </c>
      <c r="L108" s="67" t="str">
        <f>IF('CAPACITOR-10-50pF'!L78="","",'CAPACITOR-10-50pF'!L78)</f>
        <v/>
      </c>
      <c r="M108" s="57"/>
      <c r="N108" s="49" t="s">
        <v>2</v>
      </c>
      <c r="O108" s="67" t="str">
        <f>IF('CAPACITOR-10-50pF'!O78="","",'CAPACITOR-10-50pF'!O78)</f>
        <v/>
      </c>
      <c r="Q108" s="68"/>
      <c r="R108" s="52" t="str">
        <f t="shared" si="10"/>
        <v/>
      </c>
      <c r="S108" s="49" t="s">
        <v>2</v>
      </c>
      <c r="T108" s="69" t="str">
        <f>IF(C108="","",ROUNDDOWN((C108*100),4))</f>
        <v/>
      </c>
      <c r="U108" s="66"/>
      <c r="V108" s="49" t="s">
        <v>2</v>
      </c>
      <c r="W108" s="69" t="str">
        <f>IF(F108="","",ROUNDDOWN((F108*100),4))</f>
        <v/>
      </c>
      <c r="X108" s="66"/>
      <c r="Y108" s="49" t="s">
        <v>2</v>
      </c>
      <c r="Z108" s="69" t="str">
        <f>IF(I108="","",ROUNDDOWN((I108*100),4))</f>
        <v/>
      </c>
      <c r="AA108" s="66"/>
      <c r="AB108" s="49" t="s">
        <v>2</v>
      </c>
      <c r="AC108" s="69" t="str">
        <f>IF(L108="","",ROUNDDOWN((L108*100),4))</f>
        <v/>
      </c>
      <c r="AD108" s="66"/>
      <c r="AE108" s="49" t="s">
        <v>2</v>
      </c>
      <c r="AF108" s="69" t="str">
        <f>IF(O108="","",ROUNDDOWN((O108*100),4))</f>
        <v/>
      </c>
    </row>
    <row r="109" spans="1:32" ht="27" customHeight="1" x14ac:dyDescent="0.15">
      <c r="B109" s="49" t="s">
        <v>35</v>
      </c>
      <c r="C109" s="63" t="str">
        <f>T109</f>
        <v/>
      </c>
      <c r="D109" s="57"/>
      <c r="E109" s="49" t="s">
        <v>35</v>
      </c>
      <c r="F109" s="63" t="str">
        <f>W109</f>
        <v/>
      </c>
      <c r="G109" s="57"/>
      <c r="H109" s="49" t="s">
        <v>35</v>
      </c>
      <c r="I109" s="63" t="str">
        <f>Z109</f>
        <v/>
      </c>
      <c r="J109" s="57"/>
      <c r="K109" s="49" t="s">
        <v>35</v>
      </c>
      <c r="L109" s="63" t="str">
        <f>AC109</f>
        <v/>
      </c>
      <c r="M109" s="57"/>
      <c r="N109" s="49" t="s">
        <v>35</v>
      </c>
      <c r="O109" s="63" t="str">
        <f>AF109</f>
        <v/>
      </c>
      <c r="R109" s="52" t="str">
        <f t="shared" si="10"/>
        <v/>
      </c>
      <c r="S109" s="49" t="s">
        <v>35</v>
      </c>
      <c r="T109" s="70" t="str">
        <f>IF(T108="","","*"&amp;T108&amp;"*")</f>
        <v/>
      </c>
      <c r="U109" s="66"/>
      <c r="V109" s="49" t="s">
        <v>35</v>
      </c>
      <c r="W109" s="70" t="str">
        <f>IF(W108="","","*"&amp;W108&amp;"*")</f>
        <v/>
      </c>
      <c r="X109" s="66"/>
      <c r="Y109" s="49" t="s">
        <v>35</v>
      </c>
      <c r="Z109" s="70" t="str">
        <f>IF(Z108="","","*"&amp;Z108&amp;"*")</f>
        <v/>
      </c>
      <c r="AA109" s="66"/>
      <c r="AB109" s="49" t="s">
        <v>35</v>
      </c>
      <c r="AC109" s="70" t="str">
        <f>IF(AC108="","","*"&amp;AC108&amp;"*")</f>
        <v/>
      </c>
      <c r="AD109" s="66"/>
      <c r="AE109" s="49" t="s">
        <v>35</v>
      </c>
      <c r="AF109" s="70" t="str">
        <f>IF(AF108="","","*"&amp;AF108&amp;"*")</f>
        <v/>
      </c>
    </row>
    <row r="110" spans="1:32" ht="54.95" customHeight="1" x14ac:dyDescent="0.15">
      <c r="A110" s="71"/>
      <c r="B110" s="72" t="s">
        <v>3</v>
      </c>
      <c r="C110" s="49"/>
      <c r="D110" s="71"/>
      <c r="E110" s="72" t="s">
        <v>3</v>
      </c>
      <c r="F110" s="49"/>
      <c r="G110" s="71"/>
      <c r="H110" s="72" t="s">
        <v>3</v>
      </c>
      <c r="I110" s="49"/>
      <c r="J110" s="71"/>
      <c r="K110" s="72" t="s">
        <v>3</v>
      </c>
      <c r="L110" s="49"/>
      <c r="M110" s="71"/>
      <c r="N110" s="72" t="s">
        <v>3</v>
      </c>
      <c r="O110" s="49"/>
      <c r="P110" s="71"/>
      <c r="Q110" s="71"/>
      <c r="R110" s="73">
        <v>1</v>
      </c>
      <c r="S110" s="72" t="s">
        <v>3</v>
      </c>
      <c r="T110" s="75"/>
      <c r="U110" s="74"/>
      <c r="V110" s="72" t="s">
        <v>3</v>
      </c>
      <c r="W110" s="75"/>
      <c r="X110" s="74"/>
      <c r="Y110" s="72" t="s">
        <v>3</v>
      </c>
      <c r="Z110" s="75"/>
      <c r="AA110" s="74"/>
      <c r="AB110" s="72" t="s">
        <v>3</v>
      </c>
      <c r="AC110" s="75"/>
      <c r="AD110" s="74"/>
      <c r="AE110" s="72" t="s">
        <v>3</v>
      </c>
      <c r="AF110" s="75"/>
    </row>
    <row r="111" spans="1:32" ht="20.100000000000001" customHeight="1" x14ac:dyDescent="0.15">
      <c r="B111" s="49" t="s">
        <v>4</v>
      </c>
      <c r="C111" s="76" t="str">
        <f>'CAPACITOR-10-50pF'!C80</f>
        <v/>
      </c>
      <c r="E111" s="49" t="s">
        <v>4</v>
      </c>
      <c r="F111" s="76" t="str">
        <f>'CAPACITOR-10-50pF'!F80</f>
        <v/>
      </c>
      <c r="H111" s="49" t="s">
        <v>4</v>
      </c>
      <c r="I111" s="76" t="str">
        <f>'CAPACITOR-10-50pF'!I80</f>
        <v/>
      </c>
      <c r="K111" s="49" t="s">
        <v>4</v>
      </c>
      <c r="L111" s="76" t="str">
        <f>'CAPACITOR-10-50pF'!L80</f>
        <v/>
      </c>
      <c r="N111" s="49" t="s">
        <v>4</v>
      </c>
      <c r="O111" s="76" t="str">
        <f>'CAPACITOR-10-50pF'!O80</f>
        <v/>
      </c>
      <c r="R111" s="52">
        <v>1</v>
      </c>
      <c r="S111" s="49" t="s">
        <v>4</v>
      </c>
      <c r="T111" s="77" t="str">
        <f>IF(C111="","",C111)</f>
        <v/>
      </c>
      <c r="U111" s="54"/>
      <c r="V111" s="49" t="s">
        <v>4</v>
      </c>
      <c r="W111" s="77" t="str">
        <f>IF(F111="","",F111)</f>
        <v/>
      </c>
      <c r="X111" s="55"/>
      <c r="Y111" s="49" t="s">
        <v>4</v>
      </c>
      <c r="Z111" s="77" t="str">
        <f>IF(I111="","",I111)</f>
        <v/>
      </c>
      <c r="AA111" s="55"/>
      <c r="AB111" s="49" t="s">
        <v>4</v>
      </c>
      <c r="AC111" s="77" t="str">
        <f>IF(L111="","",L111)</f>
        <v/>
      </c>
      <c r="AD111" s="55"/>
      <c r="AE111" s="49" t="s">
        <v>4</v>
      </c>
      <c r="AF111" s="77" t="str">
        <f>IF(O111="","",O111)</f>
        <v/>
      </c>
    </row>
    <row r="112" spans="1:32" ht="20.100000000000001" customHeight="1" x14ac:dyDescent="0.15">
      <c r="B112" s="98">
        <v>51</v>
      </c>
      <c r="C112" s="99"/>
      <c r="D112" s="78">
        <v>1</v>
      </c>
      <c r="E112" s="98">
        <v>52</v>
      </c>
      <c r="F112" s="99"/>
      <c r="G112" s="78">
        <v>2</v>
      </c>
      <c r="H112" s="98">
        <v>53</v>
      </c>
      <c r="I112" s="99"/>
      <c r="J112" s="78">
        <v>2</v>
      </c>
      <c r="K112" s="98">
        <v>54</v>
      </c>
      <c r="L112" s="99"/>
      <c r="M112" s="78">
        <v>2</v>
      </c>
      <c r="N112" s="98">
        <v>55</v>
      </c>
      <c r="O112" s="99"/>
      <c r="R112" s="52" t="str">
        <f>IF(S112=1,"1","")</f>
        <v/>
      </c>
      <c r="S112" s="92">
        <f>B112</f>
        <v>51</v>
      </c>
      <c r="T112" s="93"/>
      <c r="U112" s="78">
        <v>1</v>
      </c>
      <c r="V112" s="92">
        <f>E112</f>
        <v>52</v>
      </c>
      <c r="W112" s="93"/>
      <c r="X112" s="78">
        <v>2</v>
      </c>
      <c r="Y112" s="92">
        <f>H112</f>
        <v>53</v>
      </c>
      <c r="Z112" s="93"/>
      <c r="AA112" s="78">
        <v>2</v>
      </c>
      <c r="AB112" s="92">
        <f>K112</f>
        <v>54</v>
      </c>
      <c r="AC112" s="93"/>
      <c r="AD112" s="78">
        <v>2</v>
      </c>
      <c r="AE112" s="92">
        <f>N112</f>
        <v>55</v>
      </c>
      <c r="AF112" s="93"/>
    </row>
    <row r="113" spans="1:32" ht="6.75" customHeight="1" x14ac:dyDescent="0.15">
      <c r="B113" s="79"/>
      <c r="C113" s="80"/>
      <c r="D113" s="78"/>
      <c r="E113" s="79"/>
      <c r="F113" s="80"/>
      <c r="G113" s="78"/>
      <c r="H113" s="79"/>
      <c r="I113" s="80"/>
      <c r="J113" s="78"/>
      <c r="K113" s="79"/>
      <c r="L113" s="80"/>
      <c r="M113" s="78"/>
      <c r="N113" s="79"/>
      <c r="O113" s="80"/>
      <c r="R113" s="52"/>
      <c r="S113" s="81"/>
      <c r="T113" s="82"/>
      <c r="U113" s="78"/>
      <c r="V113" s="81"/>
      <c r="W113" s="82"/>
      <c r="X113" s="78"/>
      <c r="Y113" s="81"/>
      <c r="Z113" s="82"/>
      <c r="AA113" s="78"/>
      <c r="AB113" s="81"/>
      <c r="AC113" s="82"/>
      <c r="AD113" s="78"/>
      <c r="AE113" s="81"/>
      <c r="AF113" s="82"/>
    </row>
    <row r="114" spans="1:32" ht="19.5" customHeight="1" x14ac:dyDescent="0.15">
      <c r="B114" s="94" t="str">
        <f>'CAPACITOR-10-50pF'!B82</f>
        <v xml:space="preserve">C  STD  </v>
      </c>
      <c r="C114" s="95"/>
      <c r="E114" s="94" t="str">
        <f>'CAPACITOR-10-50pF'!E82</f>
        <v xml:space="preserve">C  STD  </v>
      </c>
      <c r="F114" s="95"/>
      <c r="H114" s="94" t="str">
        <f>'CAPACITOR-10-50pF'!H82</f>
        <v xml:space="preserve">C  STD  </v>
      </c>
      <c r="I114" s="95"/>
      <c r="K114" s="94" t="str">
        <f>'CAPACITOR-10-50pF'!K82</f>
        <v xml:space="preserve">C  STD  </v>
      </c>
      <c r="L114" s="95"/>
      <c r="N114" s="94" t="str">
        <f>'CAPACITOR-10-50pF'!N82</f>
        <v xml:space="preserve">C  STD  </v>
      </c>
      <c r="O114" s="95"/>
      <c r="Q114" s="58"/>
      <c r="R114" s="41">
        <v>1</v>
      </c>
      <c r="S114" s="100" t="str">
        <f>B114</f>
        <v xml:space="preserve">C  STD  </v>
      </c>
      <c r="T114" s="101"/>
      <c r="U114" s="46"/>
      <c r="V114" s="100" t="str">
        <f>E114</f>
        <v xml:space="preserve">C  STD  </v>
      </c>
      <c r="W114" s="101"/>
      <c r="X114" s="46"/>
      <c r="Y114" s="100" t="str">
        <f>H114</f>
        <v xml:space="preserve">C  STD  </v>
      </c>
      <c r="Z114" s="101"/>
      <c r="AA114" s="46"/>
      <c r="AB114" s="100" t="str">
        <f>K114</f>
        <v xml:space="preserve">C  STD  </v>
      </c>
      <c r="AC114" s="101"/>
      <c r="AD114" s="46"/>
      <c r="AE114" s="100" t="str">
        <f>N114</f>
        <v xml:space="preserve">C  STD  </v>
      </c>
      <c r="AF114" s="101"/>
    </row>
    <row r="115" spans="1:32" ht="19.5" customHeight="1" x14ac:dyDescent="0.15">
      <c r="B115" s="49" t="s">
        <v>0</v>
      </c>
      <c r="C115" s="50" t="str">
        <f>IF('CAPACITOR-10-50pF'!C83="","",'CAPACITOR-10-50pF'!C83)</f>
        <v/>
      </c>
      <c r="E115" s="49" t="s">
        <v>0</v>
      </c>
      <c r="F115" s="50" t="str">
        <f>IF('CAPACITOR-10-50pF'!F83="","",'CAPACITOR-10-50pF'!F83)</f>
        <v/>
      </c>
      <c r="H115" s="49" t="s">
        <v>0</v>
      </c>
      <c r="I115" s="50" t="str">
        <f>IF('CAPACITOR-10-50pF'!I83="","",'CAPACITOR-10-50pF'!I83)</f>
        <v/>
      </c>
      <c r="K115" s="49" t="s">
        <v>0</v>
      </c>
      <c r="L115" s="50" t="str">
        <f>IF('CAPACITOR-10-50pF'!L83="","",'CAPACITOR-10-50pF'!L83)</f>
        <v/>
      </c>
      <c r="N115" s="49" t="s">
        <v>0</v>
      </c>
      <c r="O115" s="50" t="str">
        <f>IF('CAPACITOR-10-50pF'!O83="","",'CAPACITOR-10-50pF'!O83)</f>
        <v/>
      </c>
      <c r="Q115" s="58"/>
      <c r="R115" s="52" t="str">
        <f>IF(T115&lt;&gt;"","1","")</f>
        <v/>
      </c>
      <c r="S115" s="49" t="s">
        <v>0</v>
      </c>
      <c r="T115" s="53" t="str">
        <f>C115</f>
        <v/>
      </c>
      <c r="U115" s="54"/>
      <c r="V115" s="49" t="s">
        <v>0</v>
      </c>
      <c r="W115" s="53" t="str">
        <f>F115</f>
        <v/>
      </c>
      <c r="X115" s="55"/>
      <c r="Y115" s="49" t="s">
        <v>0</v>
      </c>
      <c r="Z115" s="53" t="str">
        <f>I115</f>
        <v/>
      </c>
      <c r="AA115" s="55"/>
      <c r="AB115" s="49" t="s">
        <v>0</v>
      </c>
      <c r="AC115" s="53" t="str">
        <f>L115</f>
        <v/>
      </c>
      <c r="AD115" s="55"/>
      <c r="AE115" s="49" t="s">
        <v>0</v>
      </c>
      <c r="AF115" s="53" t="str">
        <f>O115</f>
        <v/>
      </c>
    </row>
    <row r="116" spans="1:32" ht="19.5" customHeight="1" x14ac:dyDescent="0.15">
      <c r="B116" s="49" t="s">
        <v>1</v>
      </c>
      <c r="C116" s="56" t="str">
        <f>IF('CAPACITOR-10-50pF'!C84="","",'CAPACITOR-10-50pF'!C84)</f>
        <v/>
      </c>
      <c r="D116" s="57"/>
      <c r="E116" s="49" t="s">
        <v>1</v>
      </c>
      <c r="F116" s="56" t="str">
        <f>IF('CAPACITOR-10-50pF'!F84="","",'CAPACITOR-10-50pF'!F84)</f>
        <v/>
      </c>
      <c r="G116" s="57"/>
      <c r="H116" s="49" t="s">
        <v>1</v>
      </c>
      <c r="I116" s="56" t="str">
        <f>IF('CAPACITOR-10-50pF'!I84="","",'CAPACITOR-10-50pF'!I84)</f>
        <v/>
      </c>
      <c r="J116" s="57"/>
      <c r="K116" s="49" t="s">
        <v>1</v>
      </c>
      <c r="L116" s="56" t="str">
        <f>IF('CAPACITOR-10-50pF'!L84="","",'CAPACITOR-10-50pF'!L84)</f>
        <v/>
      </c>
      <c r="M116" s="57"/>
      <c r="N116" s="49" t="s">
        <v>1</v>
      </c>
      <c r="O116" s="56" t="str">
        <f>IF('CAPACITOR-10-50pF'!O84="","",'CAPACITOR-10-50pF'!O84)</f>
        <v/>
      </c>
      <c r="Q116" s="58"/>
      <c r="R116" s="52" t="str">
        <f t="shared" ref="R116:R119" si="11">IF(T116&lt;&gt;"","1","")</f>
        <v/>
      </c>
      <c r="S116" s="49" t="s">
        <v>1</v>
      </c>
      <c r="T116" s="59" t="str">
        <f>IF(C116="","",ROUNDDOWN(C116,4))</f>
        <v/>
      </c>
      <c r="U116" s="60"/>
      <c r="V116" s="49" t="s">
        <v>1</v>
      </c>
      <c r="W116" s="59" t="str">
        <f>IF(F116="","",ROUNDDOWN(F116,4))</f>
        <v/>
      </c>
      <c r="X116" s="61"/>
      <c r="Y116" s="49" t="s">
        <v>1</v>
      </c>
      <c r="Z116" s="59" t="str">
        <f>IF(I116="","",ROUNDDOWN(I116,4))</f>
        <v/>
      </c>
      <c r="AA116" s="62"/>
      <c r="AB116" s="49" t="s">
        <v>1</v>
      </c>
      <c r="AC116" s="59" t="str">
        <f>IF(L116="","",ROUNDDOWN(L116,4))</f>
        <v/>
      </c>
      <c r="AD116" s="62"/>
      <c r="AE116" s="49" t="s">
        <v>1</v>
      </c>
      <c r="AF116" s="59" t="str">
        <f>IF(O116="","",ROUNDDOWN(O116,4))</f>
        <v/>
      </c>
    </row>
    <row r="117" spans="1:32" ht="27" customHeight="1" x14ac:dyDescent="0.15">
      <c r="B117" s="49" t="s">
        <v>34</v>
      </c>
      <c r="C117" s="63" t="str">
        <f>T117</f>
        <v/>
      </c>
      <c r="D117" s="57"/>
      <c r="E117" s="49" t="s">
        <v>34</v>
      </c>
      <c r="F117" s="63" t="str">
        <f>W117</f>
        <v/>
      </c>
      <c r="G117" s="57"/>
      <c r="H117" s="49" t="s">
        <v>34</v>
      </c>
      <c r="I117" s="63" t="str">
        <f>Z117</f>
        <v/>
      </c>
      <c r="J117" s="57"/>
      <c r="K117" s="49" t="s">
        <v>34</v>
      </c>
      <c r="L117" s="63" t="str">
        <f>AC117</f>
        <v/>
      </c>
      <c r="M117" s="57"/>
      <c r="N117" s="49" t="s">
        <v>34</v>
      </c>
      <c r="O117" s="63" t="str">
        <f>AF117</f>
        <v/>
      </c>
      <c r="R117" s="52" t="str">
        <f t="shared" si="11"/>
        <v/>
      </c>
      <c r="S117" s="64" t="s">
        <v>34</v>
      </c>
      <c r="T117" s="65" t="str">
        <f>IF(T116="","","*"&amp;T116&amp;"*")</f>
        <v/>
      </c>
      <c r="U117" s="66"/>
      <c r="V117" s="64" t="s">
        <v>34</v>
      </c>
      <c r="W117" s="65" t="str">
        <f>IF(W116="","","*"&amp;W116&amp;"*")</f>
        <v/>
      </c>
      <c r="X117" s="66"/>
      <c r="Y117" s="64" t="s">
        <v>34</v>
      </c>
      <c r="Z117" s="65" t="str">
        <f>IF(Z116="","","*"&amp;Z116&amp;"*")</f>
        <v/>
      </c>
      <c r="AA117" s="66"/>
      <c r="AB117" s="64" t="s">
        <v>34</v>
      </c>
      <c r="AC117" s="65" t="str">
        <f>IF(AC116="","","*"&amp;AC116&amp;"*")</f>
        <v/>
      </c>
      <c r="AD117" s="66"/>
      <c r="AE117" s="64" t="s">
        <v>34</v>
      </c>
      <c r="AF117" s="65" t="str">
        <f>IF(AF116="","","*"&amp;AF116&amp;"*")</f>
        <v/>
      </c>
    </row>
    <row r="118" spans="1:32" ht="20.100000000000001" customHeight="1" x14ac:dyDescent="0.15">
      <c r="B118" s="49" t="s">
        <v>2</v>
      </c>
      <c r="C118" s="67" t="str">
        <f>IF('CAPACITOR-10-50pF'!C85="","",'CAPACITOR-10-50pF'!C85)</f>
        <v/>
      </c>
      <c r="D118" s="57"/>
      <c r="E118" s="49" t="s">
        <v>2</v>
      </c>
      <c r="F118" s="67" t="str">
        <f>IF('CAPACITOR-10-50pF'!F85="","",'CAPACITOR-10-50pF'!F85)</f>
        <v/>
      </c>
      <c r="G118" s="57"/>
      <c r="H118" s="49" t="s">
        <v>2</v>
      </c>
      <c r="I118" s="67" t="str">
        <f>IF('CAPACITOR-10-50pF'!I85="","",'CAPACITOR-10-50pF'!I85)</f>
        <v/>
      </c>
      <c r="J118" s="57"/>
      <c r="K118" s="49" t="s">
        <v>2</v>
      </c>
      <c r="L118" s="67" t="str">
        <f>IF('CAPACITOR-10-50pF'!L85="","",'CAPACITOR-10-50pF'!L85)</f>
        <v/>
      </c>
      <c r="M118" s="57"/>
      <c r="N118" s="49" t="s">
        <v>2</v>
      </c>
      <c r="O118" s="67" t="str">
        <f>IF('CAPACITOR-10-50pF'!O85="","",'CAPACITOR-10-50pF'!O85)</f>
        <v/>
      </c>
      <c r="Q118" s="68"/>
      <c r="R118" s="52" t="str">
        <f t="shared" si="11"/>
        <v/>
      </c>
      <c r="S118" s="49" t="s">
        <v>2</v>
      </c>
      <c r="T118" s="69" t="str">
        <f>IF(C118="","",ROUNDDOWN((C118*100),4))</f>
        <v/>
      </c>
      <c r="U118" s="66"/>
      <c r="V118" s="49" t="s">
        <v>2</v>
      </c>
      <c r="W118" s="69" t="str">
        <f>IF(F118="","",ROUNDDOWN((F118*100),4))</f>
        <v/>
      </c>
      <c r="X118" s="66"/>
      <c r="Y118" s="49" t="s">
        <v>2</v>
      </c>
      <c r="Z118" s="69" t="str">
        <f>IF(I118="","",ROUNDDOWN((I118*100),4))</f>
        <v/>
      </c>
      <c r="AA118" s="66"/>
      <c r="AB118" s="49" t="s">
        <v>2</v>
      </c>
      <c r="AC118" s="69" t="str">
        <f>IF(L118="","",ROUNDDOWN((L118*100),4))</f>
        <v/>
      </c>
      <c r="AD118" s="66"/>
      <c r="AE118" s="49" t="s">
        <v>2</v>
      </c>
      <c r="AF118" s="69" t="str">
        <f>IF(O118="","",ROUNDDOWN((O118*100),4))</f>
        <v/>
      </c>
    </row>
    <row r="119" spans="1:32" ht="27" customHeight="1" x14ac:dyDescent="0.15">
      <c r="B119" s="49" t="s">
        <v>35</v>
      </c>
      <c r="C119" s="63" t="str">
        <f>T119</f>
        <v/>
      </c>
      <c r="D119" s="57"/>
      <c r="E119" s="49" t="s">
        <v>35</v>
      </c>
      <c r="F119" s="63" t="str">
        <f>W119</f>
        <v/>
      </c>
      <c r="G119" s="57"/>
      <c r="H119" s="49" t="s">
        <v>35</v>
      </c>
      <c r="I119" s="63" t="str">
        <f>Z119</f>
        <v/>
      </c>
      <c r="J119" s="57"/>
      <c r="K119" s="49" t="s">
        <v>35</v>
      </c>
      <c r="L119" s="63" t="str">
        <f>AC119</f>
        <v/>
      </c>
      <c r="M119" s="57"/>
      <c r="N119" s="49" t="s">
        <v>35</v>
      </c>
      <c r="O119" s="63" t="str">
        <f>AF119</f>
        <v/>
      </c>
      <c r="R119" s="52" t="str">
        <f t="shared" si="11"/>
        <v/>
      </c>
      <c r="S119" s="49" t="s">
        <v>35</v>
      </c>
      <c r="T119" s="70" t="str">
        <f>IF(T118="","","*"&amp;T118&amp;"*")</f>
        <v/>
      </c>
      <c r="U119" s="66"/>
      <c r="V119" s="49" t="s">
        <v>35</v>
      </c>
      <c r="W119" s="70" t="str">
        <f>IF(W118="","","*"&amp;W118&amp;"*")</f>
        <v/>
      </c>
      <c r="X119" s="66"/>
      <c r="Y119" s="49" t="s">
        <v>35</v>
      </c>
      <c r="Z119" s="70" t="str">
        <f>IF(Z118="","","*"&amp;Z118&amp;"*")</f>
        <v/>
      </c>
      <c r="AA119" s="66"/>
      <c r="AB119" s="49" t="s">
        <v>35</v>
      </c>
      <c r="AC119" s="70" t="str">
        <f>IF(AC118="","","*"&amp;AC118&amp;"*")</f>
        <v/>
      </c>
      <c r="AD119" s="66"/>
      <c r="AE119" s="49" t="s">
        <v>35</v>
      </c>
      <c r="AF119" s="70" t="str">
        <f>IF(AF118="","","*"&amp;AF118&amp;"*")</f>
        <v/>
      </c>
    </row>
    <row r="120" spans="1:32" ht="54.95" customHeight="1" x14ac:dyDescent="0.15">
      <c r="A120" s="71"/>
      <c r="B120" s="72" t="s">
        <v>3</v>
      </c>
      <c r="C120" s="49"/>
      <c r="D120" s="71"/>
      <c r="E120" s="72" t="s">
        <v>3</v>
      </c>
      <c r="F120" s="49"/>
      <c r="G120" s="71"/>
      <c r="H120" s="72" t="s">
        <v>3</v>
      </c>
      <c r="I120" s="49"/>
      <c r="J120" s="71"/>
      <c r="K120" s="72" t="s">
        <v>3</v>
      </c>
      <c r="L120" s="49"/>
      <c r="M120" s="71"/>
      <c r="N120" s="72" t="s">
        <v>3</v>
      </c>
      <c r="O120" s="49"/>
      <c r="P120" s="71"/>
      <c r="Q120" s="71"/>
      <c r="R120" s="73">
        <v>1</v>
      </c>
      <c r="S120" s="72" t="s">
        <v>3</v>
      </c>
      <c r="T120" s="75"/>
      <c r="U120" s="74"/>
      <c r="V120" s="72" t="s">
        <v>3</v>
      </c>
      <c r="W120" s="75"/>
      <c r="X120" s="74"/>
      <c r="Y120" s="72" t="s">
        <v>3</v>
      </c>
      <c r="Z120" s="75"/>
      <c r="AA120" s="74"/>
      <c r="AB120" s="72" t="s">
        <v>3</v>
      </c>
      <c r="AC120" s="75"/>
      <c r="AD120" s="74"/>
      <c r="AE120" s="72" t="s">
        <v>3</v>
      </c>
      <c r="AF120" s="75"/>
    </row>
    <row r="121" spans="1:32" ht="20.100000000000001" customHeight="1" x14ac:dyDescent="0.15">
      <c r="B121" s="49" t="s">
        <v>4</v>
      </c>
      <c r="C121" s="76" t="str">
        <f>'CAPACITOR-10-50pF'!C87</f>
        <v/>
      </c>
      <c r="E121" s="49" t="s">
        <v>4</v>
      </c>
      <c r="F121" s="76" t="str">
        <f>'CAPACITOR-10-50pF'!F87</f>
        <v/>
      </c>
      <c r="H121" s="49" t="s">
        <v>4</v>
      </c>
      <c r="I121" s="76" t="str">
        <f>'CAPACITOR-10-50pF'!I87</f>
        <v/>
      </c>
      <c r="K121" s="49" t="s">
        <v>4</v>
      </c>
      <c r="L121" s="76" t="str">
        <f>'CAPACITOR-10-50pF'!L87</f>
        <v/>
      </c>
      <c r="N121" s="49" t="s">
        <v>4</v>
      </c>
      <c r="O121" s="76" t="str">
        <f>'CAPACITOR-10-50pF'!O87</f>
        <v/>
      </c>
      <c r="R121" s="52">
        <v>1</v>
      </c>
      <c r="S121" s="49" t="s">
        <v>4</v>
      </c>
      <c r="T121" s="77" t="str">
        <f>IF(C121="","",C121)</f>
        <v/>
      </c>
      <c r="U121" s="54"/>
      <c r="V121" s="49" t="s">
        <v>4</v>
      </c>
      <c r="W121" s="77" t="str">
        <f>IF(F121="","",F121)</f>
        <v/>
      </c>
      <c r="X121" s="55"/>
      <c r="Y121" s="49" t="s">
        <v>4</v>
      </c>
      <c r="Z121" s="77" t="str">
        <f>IF(I121="","",I121)</f>
        <v/>
      </c>
      <c r="AA121" s="55"/>
      <c r="AB121" s="49" t="s">
        <v>4</v>
      </c>
      <c r="AC121" s="77" t="str">
        <f>IF(L121="","",L121)</f>
        <v/>
      </c>
      <c r="AD121" s="55"/>
      <c r="AE121" s="49" t="s">
        <v>4</v>
      </c>
      <c r="AF121" s="77" t="str">
        <f>IF(O121="","",O121)</f>
        <v/>
      </c>
    </row>
    <row r="122" spans="1:32" ht="20.100000000000001" customHeight="1" x14ac:dyDescent="0.15">
      <c r="B122" s="98">
        <v>56</v>
      </c>
      <c r="C122" s="99"/>
      <c r="D122" s="78">
        <v>1</v>
      </c>
      <c r="E122" s="98">
        <v>57</v>
      </c>
      <c r="F122" s="99"/>
      <c r="G122" s="78">
        <v>2</v>
      </c>
      <c r="H122" s="98">
        <v>58</v>
      </c>
      <c r="I122" s="99"/>
      <c r="J122" s="78">
        <v>2</v>
      </c>
      <c r="K122" s="98">
        <v>59</v>
      </c>
      <c r="L122" s="99"/>
      <c r="M122" s="78">
        <v>2</v>
      </c>
      <c r="N122" s="98">
        <v>60</v>
      </c>
      <c r="O122" s="99"/>
      <c r="R122" s="52" t="str">
        <f>IF(S122=1,"1","")</f>
        <v/>
      </c>
      <c r="S122" s="92">
        <f>B122</f>
        <v>56</v>
      </c>
      <c r="T122" s="93"/>
      <c r="U122" s="78">
        <v>1</v>
      </c>
      <c r="V122" s="92">
        <f>E122</f>
        <v>57</v>
      </c>
      <c r="W122" s="93"/>
      <c r="X122" s="78">
        <v>2</v>
      </c>
      <c r="Y122" s="92">
        <f>H122</f>
        <v>58</v>
      </c>
      <c r="Z122" s="93"/>
      <c r="AA122" s="78">
        <v>2</v>
      </c>
      <c r="AB122" s="92">
        <f>K122</f>
        <v>59</v>
      </c>
      <c r="AC122" s="93"/>
      <c r="AD122" s="78">
        <v>2</v>
      </c>
      <c r="AE122" s="92">
        <f>N122</f>
        <v>60</v>
      </c>
      <c r="AF122" s="93"/>
    </row>
    <row r="123" spans="1:32" ht="6.75" customHeight="1" x14ac:dyDescent="0.15">
      <c r="B123" s="79"/>
      <c r="C123" s="80"/>
      <c r="D123" s="78"/>
      <c r="E123" s="79"/>
      <c r="F123" s="80"/>
      <c r="G123" s="78"/>
      <c r="H123" s="79"/>
      <c r="I123" s="80"/>
      <c r="J123" s="78"/>
      <c r="K123" s="79"/>
      <c r="L123" s="80"/>
      <c r="M123" s="78"/>
      <c r="N123" s="79"/>
      <c r="O123" s="80"/>
      <c r="R123" s="52"/>
      <c r="S123" s="79"/>
      <c r="T123" s="83"/>
      <c r="U123" s="84"/>
      <c r="V123" s="79"/>
      <c r="W123" s="83"/>
      <c r="X123" s="84"/>
      <c r="Y123" s="79"/>
      <c r="Z123" s="83"/>
      <c r="AA123" s="84"/>
      <c r="AB123" s="79"/>
      <c r="AC123" s="83"/>
      <c r="AD123" s="84"/>
      <c r="AE123" s="79"/>
      <c r="AF123" s="83"/>
    </row>
    <row r="124" spans="1:32" ht="6.75" customHeight="1" x14ac:dyDescent="0.15">
      <c r="B124" s="79"/>
      <c r="C124" s="80"/>
      <c r="D124" s="78"/>
      <c r="E124" s="79"/>
      <c r="F124" s="80"/>
      <c r="G124" s="78"/>
      <c r="H124" s="79"/>
      <c r="I124" s="80"/>
      <c r="J124" s="78"/>
      <c r="K124" s="79"/>
      <c r="L124" s="80"/>
      <c r="M124" s="78"/>
      <c r="N124" s="79"/>
      <c r="O124" s="80"/>
      <c r="R124" s="52"/>
      <c r="S124" s="81"/>
      <c r="T124" s="82"/>
      <c r="U124" s="81"/>
      <c r="V124" s="81"/>
      <c r="W124" s="82"/>
      <c r="X124" s="81"/>
      <c r="Y124" s="81"/>
      <c r="Z124" s="82"/>
      <c r="AA124" s="81"/>
      <c r="AB124" s="81"/>
      <c r="AC124" s="82"/>
      <c r="AD124" s="81"/>
      <c r="AE124" s="81"/>
      <c r="AF124" s="82"/>
    </row>
    <row r="125" spans="1:32" ht="19.5" customHeight="1" x14ac:dyDescent="0.15">
      <c r="B125" s="94" t="str">
        <f>'CAPACITOR-10-50pF'!B89</f>
        <v xml:space="preserve">C  STD  </v>
      </c>
      <c r="C125" s="95"/>
      <c r="E125" s="94" t="str">
        <f>'CAPACITOR-10-50pF'!E89</f>
        <v xml:space="preserve">C  STD  </v>
      </c>
      <c r="F125" s="95"/>
      <c r="H125" s="94" t="str">
        <f>'CAPACITOR-10-50pF'!H89</f>
        <v xml:space="preserve">C  STD  </v>
      </c>
      <c r="I125" s="95"/>
      <c r="K125" s="94" t="str">
        <f>'CAPACITOR-10-50pF'!K89</f>
        <v xml:space="preserve">C  STD  </v>
      </c>
      <c r="L125" s="95"/>
      <c r="N125" s="94" t="str">
        <f>'CAPACITOR-10-50pF'!N89</f>
        <v xml:space="preserve">C  STD  </v>
      </c>
      <c r="O125" s="95"/>
      <c r="Q125" s="58"/>
      <c r="R125" s="41">
        <v>1</v>
      </c>
      <c r="S125" s="96" t="str">
        <f>B125</f>
        <v xml:space="preserve">C  STD  </v>
      </c>
      <c r="T125" s="97"/>
      <c r="U125" s="46"/>
      <c r="V125" s="96" t="str">
        <f>E125</f>
        <v xml:space="preserve">C  STD  </v>
      </c>
      <c r="W125" s="97"/>
      <c r="X125" s="46"/>
      <c r="Y125" s="96" t="str">
        <f>H125</f>
        <v xml:space="preserve">C  STD  </v>
      </c>
      <c r="Z125" s="97"/>
      <c r="AA125" s="46"/>
      <c r="AB125" s="96" t="str">
        <f>K125</f>
        <v xml:space="preserve">C  STD  </v>
      </c>
      <c r="AC125" s="97"/>
      <c r="AD125" s="46"/>
      <c r="AE125" s="96" t="str">
        <f>N125</f>
        <v xml:space="preserve">C  STD  </v>
      </c>
      <c r="AF125" s="97"/>
    </row>
    <row r="126" spans="1:32" ht="19.5" customHeight="1" x14ac:dyDescent="0.15">
      <c r="B126" s="49" t="s">
        <v>0</v>
      </c>
      <c r="C126" s="50" t="str">
        <f>IF('CAPACITOR-10-50pF'!C90="","",'CAPACITOR-10-50pF'!C90)</f>
        <v/>
      </c>
      <c r="E126" s="49" t="s">
        <v>0</v>
      </c>
      <c r="F126" s="50" t="str">
        <f>IF('CAPACITOR-10-50pF'!F90="","",'CAPACITOR-10-50pF'!F90)</f>
        <v/>
      </c>
      <c r="H126" s="49" t="s">
        <v>0</v>
      </c>
      <c r="I126" s="50" t="str">
        <f>IF('CAPACITOR-10-50pF'!I90="","",'CAPACITOR-10-50pF'!I90)</f>
        <v/>
      </c>
      <c r="K126" s="49" t="s">
        <v>0</v>
      </c>
      <c r="L126" s="50" t="str">
        <f>IF('CAPACITOR-10-50pF'!L90="","",'CAPACITOR-10-50pF'!L90)</f>
        <v/>
      </c>
      <c r="N126" s="49" t="s">
        <v>0</v>
      </c>
      <c r="O126" s="50" t="str">
        <f>IF('CAPACITOR-10-50pF'!O90="","",'CAPACITOR-10-50pF'!O90)</f>
        <v/>
      </c>
      <c r="Q126" s="58"/>
      <c r="R126" s="52" t="str">
        <f>IF(T126&lt;&gt;"","1","")</f>
        <v/>
      </c>
      <c r="S126" s="49" t="s">
        <v>0</v>
      </c>
      <c r="T126" s="53" t="str">
        <f>C126</f>
        <v/>
      </c>
      <c r="U126" s="54"/>
      <c r="V126" s="49" t="s">
        <v>0</v>
      </c>
      <c r="W126" s="53" t="str">
        <f>F126</f>
        <v/>
      </c>
      <c r="X126" s="55"/>
      <c r="Y126" s="49" t="s">
        <v>0</v>
      </c>
      <c r="Z126" s="53" t="str">
        <f>I126</f>
        <v/>
      </c>
      <c r="AA126" s="55"/>
      <c r="AB126" s="49" t="s">
        <v>0</v>
      </c>
      <c r="AC126" s="53" t="str">
        <f>L126</f>
        <v/>
      </c>
      <c r="AD126" s="55"/>
      <c r="AE126" s="49" t="s">
        <v>0</v>
      </c>
      <c r="AF126" s="53" t="str">
        <f>O126</f>
        <v/>
      </c>
    </row>
    <row r="127" spans="1:32" ht="19.5" customHeight="1" x14ac:dyDescent="0.15">
      <c r="B127" s="49" t="s">
        <v>1</v>
      </c>
      <c r="C127" s="56" t="str">
        <f>IF('CAPACITOR-10-50pF'!C91="","",'CAPACITOR-10-50pF'!C91)</f>
        <v/>
      </c>
      <c r="D127" s="57"/>
      <c r="E127" s="49" t="s">
        <v>1</v>
      </c>
      <c r="F127" s="56" t="str">
        <f>IF('CAPACITOR-10-50pF'!F91="","",'CAPACITOR-10-50pF'!F91)</f>
        <v/>
      </c>
      <c r="G127" s="57"/>
      <c r="H127" s="49" t="s">
        <v>1</v>
      </c>
      <c r="I127" s="56" t="str">
        <f>IF('CAPACITOR-10-50pF'!I91="","",'CAPACITOR-10-50pF'!I91)</f>
        <v/>
      </c>
      <c r="J127" s="57"/>
      <c r="K127" s="49" t="s">
        <v>1</v>
      </c>
      <c r="L127" s="56" t="str">
        <f>IF('CAPACITOR-10-50pF'!L91="","",'CAPACITOR-10-50pF'!L91)</f>
        <v/>
      </c>
      <c r="M127" s="57"/>
      <c r="N127" s="49" t="s">
        <v>1</v>
      </c>
      <c r="O127" s="56" t="str">
        <f>IF('CAPACITOR-10-50pF'!O91="","",'CAPACITOR-10-50pF'!O91)</f>
        <v/>
      </c>
      <c r="Q127" s="58"/>
      <c r="R127" s="52" t="str">
        <f t="shared" ref="R127:R130" si="12">IF(T127&lt;&gt;"","1","")</f>
        <v/>
      </c>
      <c r="S127" s="49" t="s">
        <v>1</v>
      </c>
      <c r="T127" s="59" t="str">
        <f>IF(C127="","",ROUNDDOWN(C127,4))</f>
        <v/>
      </c>
      <c r="U127" s="60"/>
      <c r="V127" s="49" t="s">
        <v>1</v>
      </c>
      <c r="W127" s="59" t="str">
        <f>IF(F127="","",ROUNDDOWN(F127,4))</f>
        <v/>
      </c>
      <c r="X127" s="61"/>
      <c r="Y127" s="49" t="s">
        <v>1</v>
      </c>
      <c r="Z127" s="59" t="str">
        <f>IF(I127="","",ROUNDDOWN(I127,4))</f>
        <v/>
      </c>
      <c r="AA127" s="62"/>
      <c r="AB127" s="49" t="s">
        <v>1</v>
      </c>
      <c r="AC127" s="59" t="str">
        <f>IF(L127="","",ROUNDDOWN(L127,4))</f>
        <v/>
      </c>
      <c r="AD127" s="62"/>
      <c r="AE127" s="49" t="s">
        <v>1</v>
      </c>
      <c r="AF127" s="59" t="str">
        <f>IF(O127="","",ROUNDDOWN(O127,4))</f>
        <v/>
      </c>
    </row>
    <row r="128" spans="1:32" ht="27" customHeight="1" x14ac:dyDescent="0.15">
      <c r="B128" s="49" t="s">
        <v>34</v>
      </c>
      <c r="C128" s="63" t="str">
        <f>T128</f>
        <v/>
      </c>
      <c r="D128" s="57"/>
      <c r="E128" s="49" t="s">
        <v>34</v>
      </c>
      <c r="F128" s="63" t="str">
        <f>W128</f>
        <v/>
      </c>
      <c r="G128" s="57"/>
      <c r="H128" s="49" t="s">
        <v>34</v>
      </c>
      <c r="I128" s="63" t="str">
        <f>Z128</f>
        <v/>
      </c>
      <c r="J128" s="57"/>
      <c r="K128" s="49" t="s">
        <v>34</v>
      </c>
      <c r="L128" s="63" t="str">
        <f>AC128</f>
        <v/>
      </c>
      <c r="M128" s="57"/>
      <c r="N128" s="49" t="s">
        <v>34</v>
      </c>
      <c r="O128" s="63" t="str">
        <f>AF128</f>
        <v/>
      </c>
      <c r="R128" s="52" t="str">
        <f t="shared" si="12"/>
        <v/>
      </c>
      <c r="S128" s="64" t="s">
        <v>34</v>
      </c>
      <c r="T128" s="65" t="str">
        <f>IF(T127="","","*"&amp;T127&amp;"*")</f>
        <v/>
      </c>
      <c r="U128" s="66"/>
      <c r="V128" s="64" t="s">
        <v>34</v>
      </c>
      <c r="W128" s="65" t="str">
        <f>IF(W127="","","*"&amp;W127&amp;"*")</f>
        <v/>
      </c>
      <c r="X128" s="66"/>
      <c r="Y128" s="64" t="s">
        <v>34</v>
      </c>
      <c r="Z128" s="65" t="str">
        <f>IF(Z127="","","*"&amp;Z127&amp;"*")</f>
        <v/>
      </c>
      <c r="AA128" s="66"/>
      <c r="AB128" s="64" t="s">
        <v>34</v>
      </c>
      <c r="AC128" s="65" t="str">
        <f>IF(AC127="","","*"&amp;AC127&amp;"*")</f>
        <v/>
      </c>
      <c r="AD128" s="66"/>
      <c r="AE128" s="64" t="s">
        <v>34</v>
      </c>
      <c r="AF128" s="65" t="str">
        <f>IF(AF127="","","*"&amp;AF127&amp;"*")</f>
        <v/>
      </c>
    </row>
    <row r="129" spans="1:32" ht="20.100000000000001" customHeight="1" x14ac:dyDescent="0.15">
      <c r="B129" s="49" t="s">
        <v>2</v>
      </c>
      <c r="C129" s="67" t="str">
        <f>IF('CAPACITOR-10-50pF'!C92="","",'CAPACITOR-10-50pF'!C92)</f>
        <v/>
      </c>
      <c r="D129" s="57"/>
      <c r="E129" s="49" t="s">
        <v>2</v>
      </c>
      <c r="F129" s="67" t="str">
        <f>IF('CAPACITOR-10-50pF'!F92="","",'CAPACITOR-10-50pF'!F92)</f>
        <v/>
      </c>
      <c r="G129" s="57"/>
      <c r="H129" s="49" t="s">
        <v>2</v>
      </c>
      <c r="I129" s="67" t="str">
        <f>IF('CAPACITOR-10-50pF'!I92="","",'CAPACITOR-10-50pF'!I92)</f>
        <v/>
      </c>
      <c r="J129" s="57"/>
      <c r="K129" s="49" t="s">
        <v>2</v>
      </c>
      <c r="L129" s="67" t="str">
        <f>IF('CAPACITOR-10-50pF'!L92="","",'CAPACITOR-10-50pF'!L92)</f>
        <v/>
      </c>
      <c r="M129" s="57"/>
      <c r="N129" s="49" t="s">
        <v>2</v>
      </c>
      <c r="O129" s="67" t="str">
        <f>IF('CAPACITOR-10-50pF'!O92="","",'CAPACITOR-10-50pF'!O92)</f>
        <v/>
      </c>
      <c r="Q129" s="68"/>
      <c r="R129" s="52" t="str">
        <f t="shared" si="12"/>
        <v/>
      </c>
      <c r="S129" s="49" t="s">
        <v>2</v>
      </c>
      <c r="T129" s="69" t="str">
        <f>IF(C129="","",ROUNDDOWN((C129*100),4))</f>
        <v/>
      </c>
      <c r="U129" s="66"/>
      <c r="V129" s="49" t="s">
        <v>2</v>
      </c>
      <c r="W129" s="69" t="str">
        <f>IF(F129="","",ROUNDDOWN((F129*100),4))</f>
        <v/>
      </c>
      <c r="X129" s="66"/>
      <c r="Y129" s="49" t="s">
        <v>2</v>
      </c>
      <c r="Z129" s="69" t="str">
        <f>IF(I129="","",ROUNDDOWN((I129*100),4))</f>
        <v/>
      </c>
      <c r="AA129" s="66"/>
      <c r="AB129" s="49" t="s">
        <v>2</v>
      </c>
      <c r="AC129" s="69" t="str">
        <f>IF(L129="","",ROUNDDOWN((L129*100),4))</f>
        <v/>
      </c>
      <c r="AD129" s="66"/>
      <c r="AE129" s="49" t="s">
        <v>2</v>
      </c>
      <c r="AF129" s="69" t="str">
        <f>IF(O129="","",ROUNDDOWN((O129*100),4))</f>
        <v/>
      </c>
    </row>
    <row r="130" spans="1:32" ht="27" customHeight="1" x14ac:dyDescent="0.15">
      <c r="B130" s="49" t="s">
        <v>35</v>
      </c>
      <c r="C130" s="63" t="str">
        <f>T130</f>
        <v/>
      </c>
      <c r="D130" s="57"/>
      <c r="E130" s="49" t="s">
        <v>35</v>
      </c>
      <c r="F130" s="63" t="str">
        <f>W130</f>
        <v/>
      </c>
      <c r="G130" s="57"/>
      <c r="H130" s="49" t="s">
        <v>35</v>
      </c>
      <c r="I130" s="63" t="str">
        <f>Z130</f>
        <v/>
      </c>
      <c r="J130" s="57"/>
      <c r="K130" s="49" t="s">
        <v>35</v>
      </c>
      <c r="L130" s="63" t="str">
        <f>AC130</f>
        <v/>
      </c>
      <c r="M130" s="57"/>
      <c r="N130" s="49" t="s">
        <v>35</v>
      </c>
      <c r="O130" s="63" t="str">
        <f>AF130</f>
        <v/>
      </c>
      <c r="R130" s="52" t="str">
        <f t="shared" si="12"/>
        <v/>
      </c>
      <c r="S130" s="49" t="s">
        <v>35</v>
      </c>
      <c r="T130" s="70" t="str">
        <f>IF(T129="","","*"&amp;T129&amp;"*")</f>
        <v/>
      </c>
      <c r="U130" s="66"/>
      <c r="V130" s="49" t="s">
        <v>35</v>
      </c>
      <c r="W130" s="70" t="str">
        <f>IF(W129="","","*"&amp;W129&amp;"*")</f>
        <v/>
      </c>
      <c r="X130" s="66"/>
      <c r="Y130" s="49" t="s">
        <v>35</v>
      </c>
      <c r="Z130" s="70" t="str">
        <f>IF(Z129="","","*"&amp;Z129&amp;"*")</f>
        <v/>
      </c>
      <c r="AA130" s="66"/>
      <c r="AB130" s="49" t="s">
        <v>35</v>
      </c>
      <c r="AC130" s="70" t="str">
        <f>IF(AC129="","","*"&amp;AC129&amp;"*")</f>
        <v/>
      </c>
      <c r="AD130" s="66"/>
      <c r="AE130" s="49" t="s">
        <v>35</v>
      </c>
      <c r="AF130" s="70" t="str">
        <f>IF(AF129="","","*"&amp;AF129&amp;"*")</f>
        <v/>
      </c>
    </row>
    <row r="131" spans="1:32" ht="54.95" customHeight="1" x14ac:dyDescent="0.15">
      <c r="A131" s="71"/>
      <c r="B131" s="72" t="s">
        <v>3</v>
      </c>
      <c r="C131" s="49"/>
      <c r="D131" s="71"/>
      <c r="E131" s="72" t="s">
        <v>3</v>
      </c>
      <c r="F131" s="49"/>
      <c r="G131" s="71"/>
      <c r="H131" s="72" t="s">
        <v>3</v>
      </c>
      <c r="I131" s="49"/>
      <c r="J131" s="71"/>
      <c r="K131" s="72" t="s">
        <v>3</v>
      </c>
      <c r="L131" s="49"/>
      <c r="M131" s="71"/>
      <c r="N131" s="72" t="s">
        <v>3</v>
      </c>
      <c r="O131" s="49"/>
      <c r="P131" s="71"/>
      <c r="Q131" s="71"/>
      <c r="R131" s="73">
        <v>1</v>
      </c>
      <c r="S131" s="72" t="s">
        <v>3</v>
      </c>
      <c r="T131" s="75"/>
      <c r="U131" s="74"/>
      <c r="V131" s="72" t="s">
        <v>3</v>
      </c>
      <c r="W131" s="75"/>
      <c r="X131" s="74"/>
      <c r="Y131" s="72" t="s">
        <v>3</v>
      </c>
      <c r="Z131" s="75"/>
      <c r="AA131" s="74"/>
      <c r="AB131" s="72" t="s">
        <v>3</v>
      </c>
      <c r="AC131" s="75"/>
      <c r="AD131" s="74"/>
      <c r="AE131" s="72" t="s">
        <v>3</v>
      </c>
      <c r="AF131" s="75"/>
    </row>
    <row r="132" spans="1:32" ht="20.100000000000001" customHeight="1" x14ac:dyDescent="0.15">
      <c r="B132" s="49" t="s">
        <v>4</v>
      </c>
      <c r="C132" s="76" t="str">
        <f>'CAPACITOR-10-50pF'!C94</f>
        <v/>
      </c>
      <c r="E132" s="49" t="s">
        <v>4</v>
      </c>
      <c r="F132" s="76" t="str">
        <f>'CAPACITOR-10-50pF'!F94</f>
        <v/>
      </c>
      <c r="H132" s="49" t="s">
        <v>4</v>
      </c>
      <c r="I132" s="76" t="str">
        <f>'CAPACITOR-10-50pF'!I94</f>
        <v/>
      </c>
      <c r="K132" s="49" t="s">
        <v>4</v>
      </c>
      <c r="L132" s="76" t="str">
        <f>'CAPACITOR-10-50pF'!L94</f>
        <v/>
      </c>
      <c r="N132" s="49" t="s">
        <v>4</v>
      </c>
      <c r="O132" s="76" t="str">
        <f>'CAPACITOR-10-50pF'!O94</f>
        <v/>
      </c>
      <c r="R132" s="52">
        <v>1</v>
      </c>
      <c r="S132" s="49" t="s">
        <v>4</v>
      </c>
      <c r="T132" s="77" t="str">
        <f>IF(C132="","",C132)</f>
        <v/>
      </c>
      <c r="U132" s="54"/>
      <c r="V132" s="49" t="s">
        <v>4</v>
      </c>
      <c r="W132" s="77" t="str">
        <f>IF(F132="","",F132)</f>
        <v/>
      </c>
      <c r="X132" s="55"/>
      <c r="Y132" s="49" t="s">
        <v>4</v>
      </c>
      <c r="Z132" s="77" t="str">
        <f>IF(I132="","",I132)</f>
        <v/>
      </c>
      <c r="AA132" s="55"/>
      <c r="AB132" s="49" t="s">
        <v>4</v>
      </c>
      <c r="AC132" s="77" t="str">
        <f>IF(L132="","",L132)</f>
        <v/>
      </c>
      <c r="AD132" s="55"/>
      <c r="AE132" s="49" t="s">
        <v>4</v>
      </c>
      <c r="AF132" s="77" t="str">
        <f>IF(O132="","",O132)</f>
        <v/>
      </c>
    </row>
    <row r="133" spans="1:32" ht="20.100000000000001" customHeight="1" x14ac:dyDescent="0.15">
      <c r="B133" s="98">
        <v>61</v>
      </c>
      <c r="C133" s="99"/>
      <c r="D133" s="78">
        <v>1</v>
      </c>
      <c r="E133" s="98">
        <v>62</v>
      </c>
      <c r="F133" s="99"/>
      <c r="G133" s="78">
        <v>2</v>
      </c>
      <c r="H133" s="98">
        <v>63</v>
      </c>
      <c r="I133" s="99"/>
      <c r="J133" s="78">
        <v>2</v>
      </c>
      <c r="K133" s="98">
        <v>64</v>
      </c>
      <c r="L133" s="99"/>
      <c r="M133" s="78">
        <v>2</v>
      </c>
      <c r="N133" s="98">
        <v>65</v>
      </c>
      <c r="O133" s="99"/>
      <c r="R133" s="52" t="str">
        <f>IF(S133=1,"1","")</f>
        <v/>
      </c>
      <c r="S133" s="92">
        <f>B133</f>
        <v>61</v>
      </c>
      <c r="T133" s="93"/>
      <c r="U133" s="78">
        <v>1</v>
      </c>
      <c r="V133" s="92">
        <f>E133</f>
        <v>62</v>
      </c>
      <c r="W133" s="93"/>
      <c r="X133" s="78">
        <v>2</v>
      </c>
      <c r="Y133" s="92">
        <f>H133</f>
        <v>63</v>
      </c>
      <c r="Z133" s="93"/>
      <c r="AA133" s="78">
        <v>2</v>
      </c>
      <c r="AB133" s="92">
        <f>K133</f>
        <v>64</v>
      </c>
      <c r="AC133" s="93"/>
      <c r="AD133" s="78">
        <v>2</v>
      </c>
      <c r="AE133" s="92">
        <f>N133</f>
        <v>65</v>
      </c>
      <c r="AF133" s="93"/>
    </row>
    <row r="134" spans="1:32" ht="6.75" customHeight="1" x14ac:dyDescent="0.15">
      <c r="S134" s="85"/>
      <c r="T134" s="85"/>
      <c r="U134" s="85"/>
      <c r="V134" s="85"/>
      <c r="W134" s="85"/>
      <c r="X134" s="85"/>
      <c r="Y134" s="85"/>
      <c r="Z134" s="85"/>
      <c r="AA134" s="85"/>
      <c r="AB134" s="85"/>
      <c r="AC134" s="85"/>
      <c r="AD134" s="85"/>
      <c r="AE134" s="85"/>
      <c r="AF134" s="85"/>
    </row>
  </sheetData>
  <mergeCells count="260">
    <mergeCell ref="B40:C40"/>
    <mergeCell ref="E40:F40"/>
    <mergeCell ref="H40:I40"/>
    <mergeCell ref="K40:L40"/>
    <mergeCell ref="N40:O40"/>
    <mergeCell ref="B2:C2"/>
    <mergeCell ref="E2:F2"/>
    <mergeCell ref="H2:I2"/>
    <mergeCell ref="K2:L2"/>
    <mergeCell ref="N2:O2"/>
    <mergeCell ref="B12:C12"/>
    <mergeCell ref="E12:F12"/>
    <mergeCell ref="H12:I12"/>
    <mergeCell ref="K12:L12"/>
    <mergeCell ref="N12:O12"/>
    <mergeCell ref="B22:C22"/>
    <mergeCell ref="E22:F22"/>
    <mergeCell ref="H22:I22"/>
    <mergeCell ref="K22:L22"/>
    <mergeCell ref="N22:O22"/>
    <mergeCell ref="B32:C32"/>
    <mergeCell ref="E32:F32"/>
    <mergeCell ref="H32:I32"/>
    <mergeCell ref="K32:L32"/>
    <mergeCell ref="B43:C43"/>
    <mergeCell ref="E43:F43"/>
    <mergeCell ref="H43:I43"/>
    <mergeCell ref="K43:L43"/>
    <mergeCell ref="B73:C73"/>
    <mergeCell ref="E73:F73"/>
    <mergeCell ref="H73:I73"/>
    <mergeCell ref="K73:L73"/>
    <mergeCell ref="N73:O73"/>
    <mergeCell ref="B61:C61"/>
    <mergeCell ref="E61:F61"/>
    <mergeCell ref="H61:I61"/>
    <mergeCell ref="K61:L61"/>
    <mergeCell ref="N61:O61"/>
    <mergeCell ref="B71:C71"/>
    <mergeCell ref="E71:F71"/>
    <mergeCell ref="H71:I71"/>
    <mergeCell ref="K71:L71"/>
    <mergeCell ref="N71:O71"/>
    <mergeCell ref="V2:W2"/>
    <mergeCell ref="Y2:Z2"/>
    <mergeCell ref="AB2:AC2"/>
    <mergeCell ref="AE2:AF2"/>
    <mergeCell ref="B10:C10"/>
    <mergeCell ref="E10:F10"/>
    <mergeCell ref="H10:I10"/>
    <mergeCell ref="K10:L10"/>
    <mergeCell ref="N10:O10"/>
    <mergeCell ref="S10:T10"/>
    <mergeCell ref="S2:T2"/>
    <mergeCell ref="V10:W10"/>
    <mergeCell ref="Y10:Z10"/>
    <mergeCell ref="AB10:AC10"/>
    <mergeCell ref="AE10:AF10"/>
    <mergeCell ref="S12:T12"/>
    <mergeCell ref="V12:W12"/>
    <mergeCell ref="Y12:Z12"/>
    <mergeCell ref="AB12:AC12"/>
    <mergeCell ref="AE12:AF12"/>
    <mergeCell ref="B20:C20"/>
    <mergeCell ref="E20:F20"/>
    <mergeCell ref="H20:I20"/>
    <mergeCell ref="K20:L20"/>
    <mergeCell ref="N20:O20"/>
    <mergeCell ref="S20:T20"/>
    <mergeCell ref="V20:W20"/>
    <mergeCell ref="Y20:Z20"/>
    <mergeCell ref="AB20:AC20"/>
    <mergeCell ref="AE20:AF20"/>
    <mergeCell ref="S22:T22"/>
    <mergeCell ref="V22:W22"/>
    <mergeCell ref="Y22:Z22"/>
    <mergeCell ref="AB22:AC22"/>
    <mergeCell ref="AE22:AF22"/>
    <mergeCell ref="B30:C30"/>
    <mergeCell ref="E30:F30"/>
    <mergeCell ref="H30:I30"/>
    <mergeCell ref="K30:L30"/>
    <mergeCell ref="N30:O30"/>
    <mergeCell ref="S30:T30"/>
    <mergeCell ref="V30:W30"/>
    <mergeCell ref="Y30:Z30"/>
    <mergeCell ref="AB30:AC30"/>
    <mergeCell ref="AE30:AF30"/>
    <mergeCell ref="N32:O32"/>
    <mergeCell ref="S32:T32"/>
    <mergeCell ref="N43:O43"/>
    <mergeCell ref="S43:T43"/>
    <mergeCell ref="V43:W43"/>
    <mergeCell ref="Y43:Z43"/>
    <mergeCell ref="AB43:AC43"/>
    <mergeCell ref="AE43:AF43"/>
    <mergeCell ref="V32:W32"/>
    <mergeCell ref="Y32:Z32"/>
    <mergeCell ref="AB32:AC32"/>
    <mergeCell ref="AE32:AF32"/>
    <mergeCell ref="S40:T40"/>
    <mergeCell ref="V40:W40"/>
    <mergeCell ref="Y40:Z40"/>
    <mergeCell ref="AB40:AC40"/>
    <mergeCell ref="AE40:AF40"/>
    <mergeCell ref="V51:W51"/>
    <mergeCell ref="Y51:Z51"/>
    <mergeCell ref="AB51:AC51"/>
    <mergeCell ref="AE51:AF51"/>
    <mergeCell ref="B53:C53"/>
    <mergeCell ref="E53:F53"/>
    <mergeCell ref="H53:I53"/>
    <mergeCell ref="K53:L53"/>
    <mergeCell ref="N53:O53"/>
    <mergeCell ref="S53:T53"/>
    <mergeCell ref="B51:C51"/>
    <mergeCell ref="E51:F51"/>
    <mergeCell ref="H51:I51"/>
    <mergeCell ref="K51:L51"/>
    <mergeCell ref="N51:O51"/>
    <mergeCell ref="S51:T51"/>
    <mergeCell ref="V53:W53"/>
    <mergeCell ref="Y53:Z53"/>
    <mergeCell ref="AB53:AC53"/>
    <mergeCell ref="AE53:AF53"/>
    <mergeCell ref="S61:T61"/>
    <mergeCell ref="V61:W61"/>
    <mergeCell ref="Y61:Z61"/>
    <mergeCell ref="AB61:AC61"/>
    <mergeCell ref="AE61:AF61"/>
    <mergeCell ref="B63:C63"/>
    <mergeCell ref="E63:F63"/>
    <mergeCell ref="H63:I63"/>
    <mergeCell ref="K63:L63"/>
    <mergeCell ref="N63:O63"/>
    <mergeCell ref="S63:T63"/>
    <mergeCell ref="V63:W63"/>
    <mergeCell ref="Y63:Z63"/>
    <mergeCell ref="AB63:AC63"/>
    <mergeCell ref="AE63:AF63"/>
    <mergeCell ref="S71:T71"/>
    <mergeCell ref="V71:W71"/>
    <mergeCell ref="Y71:Z71"/>
    <mergeCell ref="AB71:AC71"/>
    <mergeCell ref="AE71:AF71"/>
    <mergeCell ref="S73:T73"/>
    <mergeCell ref="V73:W73"/>
    <mergeCell ref="Y73:Z73"/>
    <mergeCell ref="AB73:AC73"/>
    <mergeCell ref="AE73:AF73"/>
    <mergeCell ref="V81:W81"/>
    <mergeCell ref="Y81:Z81"/>
    <mergeCell ref="AB81:AC81"/>
    <mergeCell ref="AE81:AF81"/>
    <mergeCell ref="B84:C84"/>
    <mergeCell ref="E84:F84"/>
    <mergeCell ref="H84:I84"/>
    <mergeCell ref="K84:L84"/>
    <mergeCell ref="N84:O84"/>
    <mergeCell ref="S84:T84"/>
    <mergeCell ref="B81:C81"/>
    <mergeCell ref="E81:F81"/>
    <mergeCell ref="H81:I81"/>
    <mergeCell ref="K81:L81"/>
    <mergeCell ref="N81:O81"/>
    <mergeCell ref="S81:T81"/>
    <mergeCell ref="V84:W84"/>
    <mergeCell ref="Y84:Z84"/>
    <mergeCell ref="AB84:AC84"/>
    <mergeCell ref="AE84:AF84"/>
    <mergeCell ref="AE92:AF92"/>
    <mergeCell ref="B94:C94"/>
    <mergeCell ref="E94:F94"/>
    <mergeCell ref="H94:I94"/>
    <mergeCell ref="K94:L94"/>
    <mergeCell ref="N94:O94"/>
    <mergeCell ref="S94:T94"/>
    <mergeCell ref="V94:W94"/>
    <mergeCell ref="Y94:Z94"/>
    <mergeCell ref="AB94:AC94"/>
    <mergeCell ref="AE94:AF94"/>
    <mergeCell ref="B92:C92"/>
    <mergeCell ref="E92:F92"/>
    <mergeCell ref="H92:I92"/>
    <mergeCell ref="K92:L92"/>
    <mergeCell ref="N92:O92"/>
    <mergeCell ref="S92:T92"/>
    <mergeCell ref="V92:W92"/>
    <mergeCell ref="Y92:Z92"/>
    <mergeCell ref="AB92:AC92"/>
    <mergeCell ref="Y112:Z112"/>
    <mergeCell ref="AB112:AC112"/>
    <mergeCell ref="AE102:AF102"/>
    <mergeCell ref="B104:C104"/>
    <mergeCell ref="E104:F104"/>
    <mergeCell ref="H104:I104"/>
    <mergeCell ref="K104:L104"/>
    <mergeCell ref="N104:O104"/>
    <mergeCell ref="S104:T104"/>
    <mergeCell ref="V104:W104"/>
    <mergeCell ref="Y104:Z104"/>
    <mergeCell ref="AB104:AC104"/>
    <mergeCell ref="AE104:AF104"/>
    <mergeCell ref="B102:C102"/>
    <mergeCell ref="E102:F102"/>
    <mergeCell ref="H102:I102"/>
    <mergeCell ref="K102:L102"/>
    <mergeCell ref="N102:O102"/>
    <mergeCell ref="S102:T102"/>
    <mergeCell ref="V102:W102"/>
    <mergeCell ref="Y102:Z102"/>
    <mergeCell ref="AB102:AC102"/>
    <mergeCell ref="K122:L122"/>
    <mergeCell ref="N122:O122"/>
    <mergeCell ref="S122:T122"/>
    <mergeCell ref="V122:W122"/>
    <mergeCell ref="Y122:Z122"/>
    <mergeCell ref="AB122:AC122"/>
    <mergeCell ref="AE112:AF112"/>
    <mergeCell ref="B114:C114"/>
    <mergeCell ref="E114:F114"/>
    <mergeCell ref="H114:I114"/>
    <mergeCell ref="K114:L114"/>
    <mergeCell ref="N114:O114"/>
    <mergeCell ref="S114:T114"/>
    <mergeCell ref="V114:W114"/>
    <mergeCell ref="Y114:Z114"/>
    <mergeCell ref="AB114:AC114"/>
    <mergeCell ref="AE114:AF114"/>
    <mergeCell ref="B112:C112"/>
    <mergeCell ref="E112:F112"/>
    <mergeCell ref="H112:I112"/>
    <mergeCell ref="K112:L112"/>
    <mergeCell ref="N112:O112"/>
    <mergeCell ref="S112:T112"/>
    <mergeCell ref="V112:W112"/>
    <mergeCell ref="AE122:AF122"/>
    <mergeCell ref="B125:C125"/>
    <mergeCell ref="E125:F125"/>
    <mergeCell ref="H125:I125"/>
    <mergeCell ref="K125:L125"/>
    <mergeCell ref="N125:O125"/>
    <mergeCell ref="S125:T125"/>
    <mergeCell ref="V133:W133"/>
    <mergeCell ref="Y133:Z133"/>
    <mergeCell ref="AB133:AC133"/>
    <mergeCell ref="AE133:AF133"/>
    <mergeCell ref="V125:W125"/>
    <mergeCell ref="Y125:Z125"/>
    <mergeCell ref="AB125:AC125"/>
    <mergeCell ref="AE125:AF125"/>
    <mergeCell ref="B133:C133"/>
    <mergeCell ref="E133:F133"/>
    <mergeCell ref="H133:I133"/>
    <mergeCell ref="K133:L133"/>
    <mergeCell ref="N133:O133"/>
    <mergeCell ref="S133:T133"/>
    <mergeCell ref="B122:C122"/>
    <mergeCell ref="E122:F122"/>
    <mergeCell ref="H122:I122"/>
  </mergeCells>
  <phoneticPr fontId="3"/>
  <conditionalFormatting sqref="C5">
    <cfRule type="cellIs" dxfId="63" priority="323" stopIfTrue="1" operator="greaterThan">
      <formula>0.05%</formula>
    </cfRule>
    <cfRule type="cellIs" dxfId="62" priority="324" stopIfTrue="1" operator="lessThanOrEqual">
      <formula>0.05%</formula>
    </cfRule>
  </conditionalFormatting>
  <conditionalFormatting sqref="F5">
    <cfRule type="cellIs" dxfId="61" priority="319" stopIfTrue="1" operator="greaterThan">
      <formula>0.05%</formula>
    </cfRule>
    <cfRule type="cellIs" dxfId="60" priority="320" stopIfTrue="1" operator="lessThanOrEqual">
      <formula>0.05%</formula>
    </cfRule>
  </conditionalFormatting>
  <conditionalFormatting sqref="I5">
    <cfRule type="cellIs" dxfId="59" priority="321" stopIfTrue="1" operator="greaterThan">
      <formula>0.05%</formula>
    </cfRule>
    <cfRule type="cellIs" dxfId="58" priority="322" stopIfTrue="1" operator="lessThanOrEqual">
      <formula>0.05%</formula>
    </cfRule>
  </conditionalFormatting>
  <conditionalFormatting sqref="L5">
    <cfRule type="cellIs" dxfId="57" priority="317" stopIfTrue="1" operator="greaterThan">
      <formula>0.05%</formula>
    </cfRule>
    <cfRule type="cellIs" dxfId="56" priority="318" stopIfTrue="1" operator="lessThanOrEqual">
      <formula>0.05%</formula>
    </cfRule>
  </conditionalFormatting>
  <conditionalFormatting sqref="O5">
    <cfRule type="cellIs" dxfId="55" priority="315" stopIfTrue="1" operator="greaterThan">
      <formula>0.05%</formula>
    </cfRule>
    <cfRule type="cellIs" dxfId="54" priority="316" stopIfTrue="1" operator="lessThanOrEqual">
      <formula>0.05%</formula>
    </cfRule>
  </conditionalFormatting>
  <conditionalFormatting sqref="C15">
    <cfRule type="cellIs" dxfId="53" priority="73" stopIfTrue="1" operator="greaterThan">
      <formula>0.05%</formula>
    </cfRule>
    <cfRule type="cellIs" dxfId="52" priority="74" stopIfTrue="1" operator="lessThanOrEqual">
      <formula>0.05%</formula>
    </cfRule>
  </conditionalFormatting>
  <conditionalFormatting sqref="C25">
    <cfRule type="cellIs" dxfId="51" priority="63" stopIfTrue="1" operator="greaterThan">
      <formula>0.05%</formula>
    </cfRule>
    <cfRule type="cellIs" dxfId="50" priority="64" stopIfTrue="1" operator="lessThanOrEqual">
      <formula>0.05%</formula>
    </cfRule>
  </conditionalFormatting>
  <conditionalFormatting sqref="F15">
    <cfRule type="cellIs" dxfId="49" priority="53" stopIfTrue="1" operator="greaterThan">
      <formula>0.05%</formula>
    </cfRule>
    <cfRule type="cellIs" dxfId="48" priority="54" stopIfTrue="1" operator="lessThanOrEqual">
      <formula>0.05%</formula>
    </cfRule>
  </conditionalFormatting>
  <conditionalFormatting sqref="I15">
    <cfRule type="cellIs" dxfId="47" priority="51" stopIfTrue="1" operator="greaterThan">
      <formula>0.05%</formula>
    </cfRule>
    <cfRule type="cellIs" dxfId="46" priority="52" stopIfTrue="1" operator="lessThanOrEqual">
      <formula>0.05%</formula>
    </cfRule>
  </conditionalFormatting>
  <conditionalFormatting sqref="L15">
    <cfRule type="cellIs" dxfId="45" priority="49" stopIfTrue="1" operator="greaterThan">
      <formula>0.05%</formula>
    </cfRule>
    <cfRule type="cellIs" dxfId="44" priority="50" stopIfTrue="1" operator="lessThanOrEqual">
      <formula>0.05%</formula>
    </cfRule>
  </conditionalFormatting>
  <conditionalFormatting sqref="O15">
    <cfRule type="cellIs" dxfId="43" priority="47" stopIfTrue="1" operator="greaterThan">
      <formula>0.05%</formula>
    </cfRule>
    <cfRule type="cellIs" dxfId="42" priority="48" stopIfTrue="1" operator="lessThanOrEqual">
      <formula>0.05%</formula>
    </cfRule>
  </conditionalFormatting>
  <conditionalFormatting sqref="O25 L25 I25 F25">
    <cfRule type="cellIs" dxfId="41" priority="45" stopIfTrue="1" operator="greaterThan">
      <formula>0.05%</formula>
    </cfRule>
    <cfRule type="cellIs" dxfId="40" priority="46" stopIfTrue="1" operator="lessThanOrEqual">
      <formula>0.05%</formula>
    </cfRule>
  </conditionalFormatting>
  <conditionalFormatting sqref="C35">
    <cfRule type="cellIs" dxfId="39" priority="43" stopIfTrue="1" operator="greaterThan">
      <formula>0.05%</formula>
    </cfRule>
    <cfRule type="cellIs" dxfId="38" priority="44" stopIfTrue="1" operator="lessThanOrEqual">
      <formula>0.05%</formula>
    </cfRule>
  </conditionalFormatting>
  <conditionalFormatting sqref="O35 L35 I35 F35">
    <cfRule type="cellIs" dxfId="37" priority="39" stopIfTrue="1" operator="greaterThan">
      <formula>0.05%</formula>
    </cfRule>
    <cfRule type="cellIs" dxfId="36" priority="40" stopIfTrue="1" operator="lessThanOrEqual">
      <formula>0.05%</formula>
    </cfRule>
  </conditionalFormatting>
  <conditionalFormatting sqref="C46">
    <cfRule type="cellIs" dxfId="35" priority="37" stopIfTrue="1" operator="greaterThan">
      <formula>0.05%</formula>
    </cfRule>
    <cfRule type="cellIs" dxfId="34" priority="38" stopIfTrue="1" operator="lessThanOrEqual">
      <formula>0.05%</formula>
    </cfRule>
  </conditionalFormatting>
  <conditionalFormatting sqref="O46 L46 I46 F46">
    <cfRule type="cellIs" dxfId="33" priority="33" stopIfTrue="1" operator="greaterThan">
      <formula>0.05%</formula>
    </cfRule>
    <cfRule type="cellIs" dxfId="32" priority="34" stopIfTrue="1" operator="lessThanOrEqual">
      <formula>0.05%</formula>
    </cfRule>
  </conditionalFormatting>
  <conditionalFormatting sqref="C56">
    <cfRule type="cellIs" dxfId="31" priority="31" stopIfTrue="1" operator="greaterThan">
      <formula>0.05%</formula>
    </cfRule>
    <cfRule type="cellIs" dxfId="30" priority="32" stopIfTrue="1" operator="lessThanOrEqual">
      <formula>0.05%</formula>
    </cfRule>
  </conditionalFormatting>
  <conditionalFormatting sqref="O56 L56 I56 F56">
    <cfRule type="cellIs" dxfId="29" priority="29" stopIfTrue="1" operator="greaterThan">
      <formula>0.05%</formula>
    </cfRule>
    <cfRule type="cellIs" dxfId="28" priority="30" stopIfTrue="1" operator="lessThanOrEqual">
      <formula>0.05%</formula>
    </cfRule>
  </conditionalFormatting>
  <conditionalFormatting sqref="C66">
    <cfRule type="cellIs" dxfId="27" priority="27" stopIfTrue="1" operator="greaterThan">
      <formula>0.05%</formula>
    </cfRule>
    <cfRule type="cellIs" dxfId="26" priority="28" stopIfTrue="1" operator="lessThanOrEqual">
      <formula>0.05%</formula>
    </cfRule>
  </conditionalFormatting>
  <conditionalFormatting sqref="O66 L66 I66 F66">
    <cfRule type="cellIs" dxfId="25" priority="25" stopIfTrue="1" operator="greaterThan">
      <formula>0.05%</formula>
    </cfRule>
    <cfRule type="cellIs" dxfId="24" priority="26" stopIfTrue="1" operator="lessThanOrEqual">
      <formula>0.05%</formula>
    </cfRule>
  </conditionalFormatting>
  <conditionalFormatting sqref="C76">
    <cfRule type="cellIs" dxfId="23" priority="23" stopIfTrue="1" operator="greaterThan">
      <formula>0.05%</formula>
    </cfRule>
    <cfRule type="cellIs" dxfId="22" priority="24" stopIfTrue="1" operator="lessThanOrEqual">
      <formula>0.05%</formula>
    </cfRule>
  </conditionalFormatting>
  <conditionalFormatting sqref="O76 L76 I76 F76">
    <cfRule type="cellIs" dxfId="21" priority="21" stopIfTrue="1" operator="greaterThan">
      <formula>0.05%</formula>
    </cfRule>
    <cfRule type="cellIs" dxfId="20" priority="22" stopIfTrue="1" operator="lessThanOrEqual">
      <formula>0.05%</formula>
    </cfRule>
  </conditionalFormatting>
  <conditionalFormatting sqref="C87">
    <cfRule type="cellIs" dxfId="19" priority="19" stopIfTrue="1" operator="greaterThan">
      <formula>0.05%</formula>
    </cfRule>
    <cfRule type="cellIs" dxfId="18" priority="20" stopIfTrue="1" operator="lessThanOrEqual">
      <formula>0.05%</formula>
    </cfRule>
  </conditionalFormatting>
  <conditionalFormatting sqref="O87 L87 I87 F87">
    <cfRule type="cellIs" dxfId="17" priority="17" stopIfTrue="1" operator="greaterThan">
      <formula>0.05%</formula>
    </cfRule>
    <cfRule type="cellIs" dxfId="16" priority="18" stopIfTrue="1" operator="lessThanOrEqual">
      <formula>0.05%</formula>
    </cfRule>
  </conditionalFormatting>
  <conditionalFormatting sqref="C97">
    <cfRule type="cellIs" dxfId="15" priority="15" stopIfTrue="1" operator="greaterThan">
      <formula>0.05%</formula>
    </cfRule>
    <cfRule type="cellIs" dxfId="14" priority="16" stopIfTrue="1" operator="lessThanOrEqual">
      <formula>0.05%</formula>
    </cfRule>
  </conditionalFormatting>
  <conditionalFormatting sqref="O97 L97 I97 F97">
    <cfRule type="cellIs" dxfId="13" priority="13" stopIfTrue="1" operator="greaterThan">
      <formula>0.05%</formula>
    </cfRule>
    <cfRule type="cellIs" dxfId="12" priority="14" stopIfTrue="1" operator="lessThanOrEqual">
      <formula>0.05%</formula>
    </cfRule>
  </conditionalFormatting>
  <conditionalFormatting sqref="C107">
    <cfRule type="cellIs" dxfId="11" priority="11" stopIfTrue="1" operator="greaterThan">
      <formula>0.05%</formula>
    </cfRule>
    <cfRule type="cellIs" dxfId="10" priority="12" stopIfTrue="1" operator="lessThanOrEqual">
      <formula>0.05%</formula>
    </cfRule>
  </conditionalFormatting>
  <conditionalFormatting sqref="O107 L107 I107 F107">
    <cfRule type="cellIs" dxfId="9" priority="9" stopIfTrue="1" operator="greaterThan">
      <formula>0.05%</formula>
    </cfRule>
    <cfRule type="cellIs" dxfId="8" priority="10" stopIfTrue="1" operator="lessThanOrEqual">
      <formula>0.05%</formula>
    </cfRule>
  </conditionalFormatting>
  <conditionalFormatting sqref="C117">
    <cfRule type="cellIs" dxfId="7" priority="7" stopIfTrue="1" operator="greaterThan">
      <formula>0.05%</formula>
    </cfRule>
    <cfRule type="cellIs" dxfId="6" priority="8" stopIfTrue="1" operator="lessThanOrEqual">
      <formula>0.05%</formula>
    </cfRule>
  </conditionalFormatting>
  <conditionalFormatting sqref="O117 L117 I117 F117">
    <cfRule type="cellIs" dxfId="5" priority="5" stopIfTrue="1" operator="greaterThan">
      <formula>0.05%</formula>
    </cfRule>
    <cfRule type="cellIs" dxfId="4" priority="6" stopIfTrue="1" operator="lessThanOrEqual">
      <formula>0.05%</formula>
    </cfRule>
  </conditionalFormatting>
  <conditionalFormatting sqref="C128">
    <cfRule type="cellIs" dxfId="3" priority="3" stopIfTrue="1" operator="greaterThan">
      <formula>0.05%</formula>
    </cfRule>
    <cfRule type="cellIs" dxfId="2" priority="4" stopIfTrue="1" operator="lessThanOrEqual">
      <formula>0.05%</formula>
    </cfRule>
  </conditionalFormatting>
  <conditionalFormatting sqref="O128 L128 I128 F128">
    <cfRule type="cellIs" dxfId="1" priority="1" stopIfTrue="1" operator="greaterThan">
      <formula>0.05%</formula>
    </cfRule>
    <cfRule type="cellIs" dxfId="0" priority="2" stopIfTrue="1" operator="lessThanOrEqual">
      <formula>0.05%</formula>
    </cfRule>
  </conditionalFormatting>
  <pageMargins left="0.23622047244094491" right="0.23622047244094491" top="0.70866141732283472" bottom="0.51181102362204722" header="0.23622047244094491" footer="0.19685039370078741"/>
  <pageSetup paperSize="9" scale="83" fitToHeight="0" orientation="portrait" horizontalDpi="300" verticalDpi="300" r:id="rId1"/>
  <headerFooter>
    <oddHeader xml:space="preserve">&amp;L&amp;D
&amp;F
&amp;A    &amp;R&amp;"Calibri,標準"&amp;14&amp;KFF0000 L2: Internal use only&amp;1#
</oddHeader>
    <oddFooter>&amp;C&amp;P / &amp;N</oddFooter>
  </headerFooter>
  <rowBreaks count="3" manualBreakCount="3">
    <brk id="41" min="18" max="31" man="1"/>
    <brk id="82" min="18" max="31" man="1"/>
    <brk id="123" min="18" max="31" man="1"/>
  </rowBreaks>
  <drawing r:id="rId2"/>
  <legacyDrawing r:id="rId3"/>
  <controls>
    <mc:AlternateContent xmlns:mc="http://schemas.openxmlformats.org/markup-compatibility/2006">
      <mc:Choice Requires="x14">
        <control shapeId="39942" r:id="rId4" name="CommandButton6">
          <controlPr defaultSize="0" autoFill="0" autoLine="0" autoPict="0" r:id="rId5">
            <anchor>
              <from>
                <xdr:col>34</xdr:col>
                <xdr:colOff>66675</xdr:colOff>
                <xdr:row>9</xdr:row>
                <xdr:rowOff>28575</xdr:rowOff>
              </from>
              <to>
                <xdr:col>35</xdr:col>
                <xdr:colOff>400050</xdr:colOff>
                <xdr:row>11</xdr:row>
                <xdr:rowOff>180975</xdr:rowOff>
              </to>
            </anchor>
          </controlPr>
        </control>
      </mc:Choice>
      <mc:Fallback>
        <control shapeId="39942" r:id="rId4" name="CommandButton6"/>
      </mc:Fallback>
    </mc:AlternateContent>
    <mc:AlternateContent xmlns:mc="http://schemas.openxmlformats.org/markup-compatibility/2006">
      <mc:Choice Requires="x14">
        <control shapeId="39941" r:id="rId6" name="CommandButton5">
          <controlPr defaultSize="0" autoFill="0" autoLine="0" autoPict="0" r:id="rId7">
            <anchor>
              <from>
                <xdr:col>34</xdr:col>
                <xdr:colOff>47625</xdr:colOff>
                <xdr:row>7</xdr:row>
                <xdr:rowOff>266700</xdr:rowOff>
              </from>
              <to>
                <xdr:col>35</xdr:col>
                <xdr:colOff>381000</xdr:colOff>
                <xdr:row>8</xdr:row>
                <xdr:rowOff>47625</xdr:rowOff>
              </to>
            </anchor>
          </controlPr>
        </control>
      </mc:Choice>
      <mc:Fallback>
        <control shapeId="39941" r:id="rId6" name="CommandButton5"/>
      </mc:Fallback>
    </mc:AlternateContent>
    <mc:AlternateContent xmlns:mc="http://schemas.openxmlformats.org/markup-compatibility/2006">
      <mc:Choice Requires="x14">
        <control shapeId="39940" r:id="rId8" name="CommandButton4">
          <controlPr defaultSize="0" disabled="1" autoFill="0" autoLine="0" autoPict="0" r:id="rId9">
            <anchor>
              <from>
                <xdr:col>34</xdr:col>
                <xdr:colOff>28575</xdr:colOff>
                <xdr:row>5</xdr:row>
                <xdr:rowOff>161925</xdr:rowOff>
              </from>
              <to>
                <xdr:col>35</xdr:col>
                <xdr:colOff>361950</xdr:colOff>
                <xdr:row>7</xdr:row>
                <xdr:rowOff>57150</xdr:rowOff>
              </to>
            </anchor>
          </controlPr>
        </control>
      </mc:Choice>
      <mc:Fallback>
        <control shapeId="39940" r:id="rId8" name="CommandButton4"/>
      </mc:Fallback>
    </mc:AlternateContent>
    <mc:AlternateContent xmlns:mc="http://schemas.openxmlformats.org/markup-compatibility/2006">
      <mc:Choice Requires="x14">
        <control shapeId="39939" r:id="rId10" name="CommandButton3">
          <controlPr defaultSize="0" disabled="1" autoFill="0" autoLine="0" r:id="rId11">
            <anchor>
              <from>
                <xdr:col>38</xdr:col>
                <xdr:colOff>352425</xdr:colOff>
                <xdr:row>0</xdr:row>
                <xdr:rowOff>28575</xdr:rowOff>
              </from>
              <to>
                <xdr:col>40</xdr:col>
                <xdr:colOff>38100</xdr:colOff>
                <xdr:row>2</xdr:row>
                <xdr:rowOff>200025</xdr:rowOff>
              </to>
            </anchor>
          </controlPr>
        </control>
      </mc:Choice>
      <mc:Fallback>
        <control shapeId="39939" r:id="rId10" name="CommandButton3"/>
      </mc:Fallback>
    </mc:AlternateContent>
    <mc:AlternateContent xmlns:mc="http://schemas.openxmlformats.org/markup-compatibility/2006">
      <mc:Choice Requires="x14">
        <control shapeId="39938" r:id="rId12" name="CommandButton2">
          <controlPr defaultSize="0" disabled="1" autoFill="0" autoLine="0" autoPict="0" r:id="rId13">
            <anchor>
              <from>
                <xdr:col>34</xdr:col>
                <xdr:colOff>28575</xdr:colOff>
                <xdr:row>3</xdr:row>
                <xdr:rowOff>66675</xdr:rowOff>
              </from>
              <to>
                <xdr:col>35</xdr:col>
                <xdr:colOff>361950</xdr:colOff>
                <xdr:row>4</xdr:row>
                <xdr:rowOff>304800</xdr:rowOff>
              </to>
            </anchor>
          </controlPr>
        </control>
      </mc:Choice>
      <mc:Fallback>
        <control shapeId="39938" r:id="rId12" name="CommandButton2"/>
      </mc:Fallback>
    </mc:AlternateContent>
    <mc:AlternateContent xmlns:mc="http://schemas.openxmlformats.org/markup-compatibility/2006">
      <mc:Choice Requires="x14">
        <control shapeId="39937" r:id="rId14" name="CommandButton1">
          <controlPr defaultSize="0" autoFill="0" autoLine="0" autoPict="0" r:id="rId15">
            <anchor>
              <from>
                <xdr:col>34</xdr:col>
                <xdr:colOff>28575</xdr:colOff>
                <xdr:row>0</xdr:row>
                <xdr:rowOff>28575</xdr:rowOff>
              </from>
              <to>
                <xdr:col>35</xdr:col>
                <xdr:colOff>361950</xdr:colOff>
                <xdr:row>2</xdr:row>
                <xdr:rowOff>200025</xdr:rowOff>
              </to>
            </anchor>
          </controlPr>
        </control>
      </mc:Choice>
      <mc:Fallback>
        <control shapeId="39937" r:id="rId1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2923E-E399-4D99-A18C-14938A53B596}">
  <sheetPr codeName="Sheet1"/>
  <dimension ref="A1:E24"/>
  <sheetViews>
    <sheetView workbookViewId="0">
      <selection activeCell="E24" sqref="A1:E24"/>
    </sheetView>
  </sheetViews>
  <sheetFormatPr defaultColWidth="8.75" defaultRowHeight="13.5" x14ac:dyDescent="0.15"/>
  <cols>
    <col min="1" max="1" width="17.125" style="33" customWidth="1"/>
    <col min="2" max="16384" width="8.75" style="33"/>
  </cols>
  <sheetData>
    <row r="1" spans="1:5" x14ac:dyDescent="0.15">
      <c r="A1" s="30" t="s">
        <v>41</v>
      </c>
      <c r="B1" s="31">
        <v>33.75</v>
      </c>
      <c r="C1" s="31">
        <v>606</v>
      </c>
      <c r="D1" s="31">
        <v>140.25</v>
      </c>
      <c r="E1" s="32">
        <v>33</v>
      </c>
    </row>
    <row r="2" spans="1:5" x14ac:dyDescent="0.15">
      <c r="A2" s="34" t="s">
        <v>42</v>
      </c>
      <c r="B2" s="35">
        <v>35.25</v>
      </c>
      <c r="C2" s="35">
        <v>256.5</v>
      </c>
      <c r="D2" s="35">
        <v>61.5</v>
      </c>
      <c r="E2" s="36">
        <v>33</v>
      </c>
    </row>
    <row r="3" spans="1:5" x14ac:dyDescent="0.15">
      <c r="A3" s="34" t="s">
        <v>43</v>
      </c>
      <c r="B3" s="35">
        <v>35.25</v>
      </c>
      <c r="C3" s="35">
        <v>318.75</v>
      </c>
      <c r="D3" s="35">
        <v>61.5</v>
      </c>
      <c r="E3" s="36">
        <v>33</v>
      </c>
    </row>
    <row r="4" spans="1:5" x14ac:dyDescent="0.15">
      <c r="A4" s="34" t="s">
        <v>44</v>
      </c>
      <c r="B4" s="35">
        <v>34.5</v>
      </c>
      <c r="C4" s="35">
        <v>56.25</v>
      </c>
      <c r="D4" s="35">
        <v>72</v>
      </c>
      <c r="E4" s="36">
        <v>24.75</v>
      </c>
    </row>
    <row r="5" spans="1:5" x14ac:dyDescent="0.15">
      <c r="A5" s="34" t="s">
        <v>45</v>
      </c>
      <c r="B5" s="35">
        <v>34.5</v>
      </c>
      <c r="C5" s="35">
        <v>183</v>
      </c>
      <c r="D5" s="35">
        <v>72</v>
      </c>
      <c r="E5" s="36">
        <v>24.75</v>
      </c>
    </row>
    <row r="6" spans="1:5" x14ac:dyDescent="0.15">
      <c r="A6" s="34" t="s">
        <v>49</v>
      </c>
      <c r="B6" s="35">
        <v>0</v>
      </c>
      <c r="C6" s="35">
        <v>0</v>
      </c>
      <c r="D6" s="35">
        <v>125.25</v>
      </c>
      <c r="E6" s="36">
        <v>33</v>
      </c>
    </row>
    <row r="7" spans="1:5" x14ac:dyDescent="0.15">
      <c r="A7" s="34" t="s">
        <v>46</v>
      </c>
      <c r="B7" s="35">
        <v>33.75</v>
      </c>
      <c r="C7" s="35">
        <v>0.75</v>
      </c>
      <c r="D7" s="35">
        <v>54</v>
      </c>
      <c r="E7" s="36">
        <v>33</v>
      </c>
    </row>
    <row r="8" spans="1:5" x14ac:dyDescent="0.15">
      <c r="A8" s="34" t="s">
        <v>51</v>
      </c>
      <c r="B8" s="35">
        <v>0</v>
      </c>
      <c r="C8" s="35">
        <v>606</v>
      </c>
      <c r="D8" s="35">
        <v>93</v>
      </c>
      <c r="E8" s="36">
        <v>33</v>
      </c>
    </row>
    <row r="9" spans="1:5" x14ac:dyDescent="0.15">
      <c r="A9" s="34" t="s">
        <v>54</v>
      </c>
      <c r="B9" s="35">
        <v>0</v>
      </c>
      <c r="C9" s="35">
        <v>508.5</v>
      </c>
      <c r="D9" s="35">
        <v>96</v>
      </c>
      <c r="E9" s="36">
        <v>33</v>
      </c>
    </row>
    <row r="10" spans="1:5" x14ac:dyDescent="0.15">
      <c r="A10" s="34" t="s">
        <v>55</v>
      </c>
      <c r="B10" s="35">
        <v>34.5</v>
      </c>
      <c r="C10" s="35">
        <v>508.5</v>
      </c>
      <c r="D10" s="35">
        <v>96</v>
      </c>
      <c r="E10" s="36">
        <v>33</v>
      </c>
    </row>
    <row r="11" spans="1:5" x14ac:dyDescent="0.15">
      <c r="A11" s="34" t="s">
        <v>48</v>
      </c>
      <c r="B11" s="35">
        <v>0</v>
      </c>
      <c r="C11" s="35">
        <v>253.5</v>
      </c>
      <c r="D11" s="35">
        <v>125.25</v>
      </c>
      <c r="E11" s="36">
        <v>33</v>
      </c>
    </row>
    <row r="12" spans="1:5" x14ac:dyDescent="0.15">
      <c r="A12" s="34" t="s">
        <v>47</v>
      </c>
      <c r="B12" s="35">
        <v>33.75</v>
      </c>
      <c r="C12" s="35">
        <v>127.5</v>
      </c>
      <c r="D12" s="35">
        <v>54</v>
      </c>
      <c r="E12" s="36">
        <v>33</v>
      </c>
    </row>
    <row r="13" spans="1:5" x14ac:dyDescent="0.15">
      <c r="A13" s="34" t="s">
        <v>50</v>
      </c>
      <c r="B13" s="35">
        <v>0</v>
      </c>
      <c r="C13" s="35">
        <v>126.75</v>
      </c>
      <c r="D13" s="35">
        <v>125.25</v>
      </c>
      <c r="E13" s="36">
        <v>33</v>
      </c>
    </row>
    <row r="14" spans="1:5" x14ac:dyDescent="0.15">
      <c r="A14" s="34" t="s">
        <v>52</v>
      </c>
      <c r="B14" s="35">
        <v>0</v>
      </c>
      <c r="C14" s="35">
        <v>380.25</v>
      </c>
      <c r="D14" s="35">
        <v>125.25</v>
      </c>
      <c r="E14" s="36">
        <v>33</v>
      </c>
    </row>
    <row r="15" spans="1:5" x14ac:dyDescent="0.15">
      <c r="A15" s="34" t="s">
        <v>53</v>
      </c>
      <c r="B15" s="35">
        <v>34.5</v>
      </c>
      <c r="C15" s="35">
        <v>381.75</v>
      </c>
      <c r="D15" s="35">
        <v>125.25</v>
      </c>
      <c r="E15" s="36">
        <v>33</v>
      </c>
    </row>
    <row r="16" spans="1:5" x14ac:dyDescent="0.15">
      <c r="A16" s="34" t="s">
        <v>56</v>
      </c>
      <c r="B16" s="35">
        <v>67.5</v>
      </c>
      <c r="C16" s="35">
        <v>606</v>
      </c>
      <c r="D16" s="35">
        <v>140.25</v>
      </c>
      <c r="E16" s="36">
        <v>33</v>
      </c>
    </row>
    <row r="17" spans="1:5" x14ac:dyDescent="0.15">
      <c r="A17" s="34" t="s">
        <v>57</v>
      </c>
      <c r="B17" s="35">
        <v>68.25</v>
      </c>
      <c r="C17" s="35">
        <v>0.75</v>
      </c>
      <c r="D17" s="35">
        <v>126.75</v>
      </c>
      <c r="E17" s="36">
        <v>33</v>
      </c>
    </row>
    <row r="18" spans="1:5" x14ac:dyDescent="0.15">
      <c r="A18" s="34" t="s">
        <v>58</v>
      </c>
      <c r="B18" s="35">
        <v>67.5</v>
      </c>
      <c r="C18" s="35">
        <v>127.5</v>
      </c>
      <c r="D18" s="35">
        <v>126</v>
      </c>
      <c r="E18" s="36">
        <v>33</v>
      </c>
    </row>
    <row r="19" spans="1:5" x14ac:dyDescent="0.15">
      <c r="A19" s="34" t="s">
        <v>59</v>
      </c>
      <c r="B19" s="35">
        <v>0</v>
      </c>
      <c r="C19" s="35">
        <v>700.5</v>
      </c>
      <c r="D19" s="35">
        <v>45.75</v>
      </c>
      <c r="E19" s="36">
        <v>33</v>
      </c>
    </row>
    <row r="20" spans="1:5" x14ac:dyDescent="0.15">
      <c r="A20" s="34" t="s">
        <v>60</v>
      </c>
      <c r="B20" s="35">
        <v>4.5</v>
      </c>
      <c r="C20" s="35">
        <v>753.75</v>
      </c>
      <c r="D20" s="35">
        <v>204</v>
      </c>
      <c r="E20" s="36">
        <v>66</v>
      </c>
    </row>
    <row r="21" spans="1:5" x14ac:dyDescent="0.15">
      <c r="A21" s="34" t="s">
        <v>61</v>
      </c>
      <c r="B21" s="35">
        <v>14.25</v>
      </c>
      <c r="C21" s="35">
        <v>780.75</v>
      </c>
      <c r="D21" s="35">
        <v>146.25</v>
      </c>
      <c r="E21" s="36">
        <v>39.75</v>
      </c>
    </row>
    <row r="22" spans="1:5" x14ac:dyDescent="0.15">
      <c r="A22" s="34" t="s">
        <v>62</v>
      </c>
      <c r="B22" s="35">
        <v>45</v>
      </c>
      <c r="C22" s="35">
        <v>6.75</v>
      </c>
      <c r="D22" s="35">
        <v>42</v>
      </c>
      <c r="E22" s="36">
        <v>13.5</v>
      </c>
    </row>
    <row r="23" spans="1:5" x14ac:dyDescent="0.15">
      <c r="A23" s="34" t="s">
        <v>63</v>
      </c>
      <c r="B23" s="35">
        <v>45</v>
      </c>
      <c r="C23" s="35">
        <v>135.75</v>
      </c>
      <c r="D23" s="35">
        <v>28.5</v>
      </c>
      <c r="E23" s="36">
        <v>16.5</v>
      </c>
    </row>
    <row r="24" spans="1:5" x14ac:dyDescent="0.15">
      <c r="A24" s="37" t="s">
        <v>65</v>
      </c>
      <c r="B24" s="38">
        <v>68.25</v>
      </c>
      <c r="C24" s="38">
        <v>446.25</v>
      </c>
      <c r="D24" s="38">
        <v>60.75</v>
      </c>
      <c r="E24" s="39">
        <v>27.75</v>
      </c>
    </row>
  </sheetData>
  <phoneticPr fontId="3"/>
  <pageMargins left="0.7" right="0.7" top="0.75" bottom="0.75" header="0.3" footer="0.3"/>
  <pageSetup paperSize="9" orientation="portrait" horizontalDpi="300" verticalDpi="300" r:id="rId1"/>
  <headerFooter>
    <oddHeader>&amp;R&amp;"Calibri"&amp;14&amp;KFF0000 L2: Internal use only&amp;1#_x000D_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F3691-4477-42BF-BE70-2B6C95F85097}">
  <sheetPr codeName="Sheet3"/>
  <dimension ref="A1:E24"/>
  <sheetViews>
    <sheetView workbookViewId="0">
      <selection activeCell="F19" sqref="F19"/>
    </sheetView>
  </sheetViews>
  <sheetFormatPr defaultColWidth="8.75" defaultRowHeight="13.5" x14ac:dyDescent="0.15"/>
  <cols>
    <col min="1" max="1" width="17.125" style="33" customWidth="1"/>
    <col min="2" max="16384" width="8.75" style="33"/>
  </cols>
  <sheetData>
    <row r="1" spans="1:5" x14ac:dyDescent="0.15">
      <c r="A1" s="30" t="s">
        <v>41</v>
      </c>
      <c r="B1" s="31">
        <v>33</v>
      </c>
      <c r="C1" s="31">
        <v>554.5</v>
      </c>
      <c r="D1" s="31">
        <v>130</v>
      </c>
      <c r="E1" s="32">
        <v>33</v>
      </c>
    </row>
    <row r="2" spans="1:5" x14ac:dyDescent="0.15">
      <c r="A2" s="34" t="s">
        <v>42</v>
      </c>
      <c r="B2" s="35">
        <v>34.5</v>
      </c>
      <c r="C2" s="35">
        <v>230.5</v>
      </c>
      <c r="D2" s="35">
        <v>57</v>
      </c>
      <c r="E2" s="36">
        <v>33</v>
      </c>
    </row>
    <row r="3" spans="1:5" x14ac:dyDescent="0.15">
      <c r="A3" s="34" t="s">
        <v>43</v>
      </c>
      <c r="B3" s="35">
        <v>34</v>
      </c>
      <c r="C3" s="35">
        <v>287</v>
      </c>
      <c r="D3" s="35">
        <v>57</v>
      </c>
      <c r="E3" s="36">
        <v>33</v>
      </c>
    </row>
    <row r="4" spans="1:5" x14ac:dyDescent="0.15">
      <c r="A4" s="34" t="s">
        <v>44</v>
      </c>
      <c r="B4" s="35">
        <v>34.5</v>
      </c>
      <c r="C4" s="35">
        <v>54</v>
      </c>
      <c r="D4" s="35">
        <v>60</v>
      </c>
      <c r="E4" s="36">
        <v>24.5</v>
      </c>
    </row>
    <row r="5" spans="1:5" x14ac:dyDescent="0.15">
      <c r="A5" s="34" t="s">
        <v>45</v>
      </c>
      <c r="B5" s="35">
        <v>34.5</v>
      </c>
      <c r="C5" s="35">
        <v>169.5</v>
      </c>
      <c r="D5" s="35">
        <v>60</v>
      </c>
      <c r="E5" s="36">
        <v>24.5</v>
      </c>
    </row>
    <row r="6" spans="1:5" x14ac:dyDescent="0.15">
      <c r="A6" s="34" t="s">
        <v>46</v>
      </c>
      <c r="B6" s="35">
        <v>34</v>
      </c>
      <c r="C6" s="35">
        <v>0</v>
      </c>
      <c r="D6" s="35">
        <v>54</v>
      </c>
      <c r="E6" s="36">
        <v>33</v>
      </c>
    </row>
    <row r="7" spans="1:5" x14ac:dyDescent="0.15">
      <c r="A7" s="34" t="s">
        <v>47</v>
      </c>
      <c r="B7" s="35">
        <v>34</v>
      </c>
      <c r="C7" s="35">
        <v>115</v>
      </c>
      <c r="D7" s="35">
        <v>54</v>
      </c>
      <c r="E7" s="36">
        <v>33</v>
      </c>
    </row>
    <row r="8" spans="1:5" x14ac:dyDescent="0.15">
      <c r="A8" s="34" t="s">
        <v>48</v>
      </c>
      <c r="B8" s="35">
        <v>0</v>
      </c>
      <c r="C8" s="35">
        <v>228.5</v>
      </c>
      <c r="D8" s="35">
        <v>114</v>
      </c>
      <c r="E8" s="36">
        <v>33</v>
      </c>
    </row>
    <row r="9" spans="1:5" x14ac:dyDescent="0.15">
      <c r="A9" s="34" t="s">
        <v>49</v>
      </c>
      <c r="B9" s="35">
        <v>0</v>
      </c>
      <c r="C9" s="35">
        <v>0</v>
      </c>
      <c r="D9" s="35">
        <v>114</v>
      </c>
      <c r="E9" s="36">
        <v>33</v>
      </c>
    </row>
    <row r="10" spans="1:5" x14ac:dyDescent="0.15">
      <c r="A10" s="34" t="s">
        <v>50</v>
      </c>
      <c r="B10" s="35">
        <v>0</v>
      </c>
      <c r="C10" s="35">
        <v>114.5</v>
      </c>
      <c r="D10" s="35">
        <v>114</v>
      </c>
      <c r="E10" s="36">
        <v>33</v>
      </c>
    </row>
    <row r="11" spans="1:5" x14ac:dyDescent="0.15">
      <c r="A11" s="34" t="s">
        <v>51</v>
      </c>
      <c r="B11" s="35">
        <v>0</v>
      </c>
      <c r="C11" s="35">
        <v>554</v>
      </c>
      <c r="D11" s="35">
        <v>88</v>
      </c>
      <c r="E11" s="36">
        <v>33</v>
      </c>
    </row>
    <row r="12" spans="1:5" x14ac:dyDescent="0.15">
      <c r="A12" s="34" t="s">
        <v>52</v>
      </c>
      <c r="B12" s="35">
        <v>0</v>
      </c>
      <c r="C12" s="35">
        <v>342.5</v>
      </c>
      <c r="D12" s="35">
        <v>114</v>
      </c>
      <c r="E12" s="36">
        <v>33</v>
      </c>
    </row>
    <row r="13" spans="1:5" x14ac:dyDescent="0.15">
      <c r="A13" s="34" t="s">
        <v>53</v>
      </c>
      <c r="B13" s="35">
        <v>33.5</v>
      </c>
      <c r="C13" s="35">
        <v>344</v>
      </c>
      <c r="D13" s="35">
        <v>114</v>
      </c>
      <c r="E13" s="36">
        <v>33</v>
      </c>
    </row>
    <row r="14" spans="1:5" x14ac:dyDescent="0.15">
      <c r="A14" s="34" t="s">
        <v>54</v>
      </c>
      <c r="B14" s="35">
        <v>0</v>
      </c>
      <c r="C14" s="35">
        <v>458</v>
      </c>
      <c r="D14" s="35">
        <v>96</v>
      </c>
      <c r="E14" s="36">
        <v>33</v>
      </c>
    </row>
    <row r="15" spans="1:5" x14ac:dyDescent="0.15">
      <c r="A15" s="34" t="s">
        <v>55</v>
      </c>
      <c r="B15" s="35">
        <v>32.5</v>
      </c>
      <c r="C15" s="35">
        <v>458</v>
      </c>
      <c r="D15" s="35">
        <v>96</v>
      </c>
      <c r="E15" s="36">
        <v>33</v>
      </c>
    </row>
    <row r="16" spans="1:5" x14ac:dyDescent="0.15">
      <c r="A16" s="34" t="s">
        <v>56</v>
      </c>
      <c r="B16" s="35">
        <v>66.5</v>
      </c>
      <c r="C16" s="35">
        <v>555.5</v>
      </c>
      <c r="D16" s="35">
        <v>130</v>
      </c>
      <c r="E16" s="36">
        <v>33</v>
      </c>
    </row>
    <row r="17" spans="1:5" x14ac:dyDescent="0.15">
      <c r="A17" s="34" t="s">
        <v>57</v>
      </c>
      <c r="B17" s="35">
        <v>67.5</v>
      </c>
      <c r="C17" s="35">
        <v>0</v>
      </c>
      <c r="D17" s="35">
        <v>114</v>
      </c>
      <c r="E17" s="36">
        <v>33</v>
      </c>
    </row>
    <row r="18" spans="1:5" x14ac:dyDescent="0.15">
      <c r="A18" s="34" t="s">
        <v>58</v>
      </c>
      <c r="B18" s="35">
        <v>67</v>
      </c>
      <c r="C18" s="35">
        <v>116</v>
      </c>
      <c r="D18" s="35">
        <v>114</v>
      </c>
      <c r="E18" s="36">
        <v>33</v>
      </c>
    </row>
    <row r="19" spans="1:5" x14ac:dyDescent="0.15">
      <c r="A19" s="34" t="s">
        <v>59</v>
      </c>
      <c r="B19" s="35">
        <v>0</v>
      </c>
      <c r="C19" s="35">
        <v>642</v>
      </c>
      <c r="D19" s="35">
        <v>42</v>
      </c>
      <c r="E19" s="36">
        <v>33</v>
      </c>
    </row>
    <row r="20" spans="1:5" x14ac:dyDescent="0.15">
      <c r="A20" s="34" t="s">
        <v>60</v>
      </c>
      <c r="B20" s="35">
        <v>1.5</v>
      </c>
      <c r="C20" s="35">
        <v>691</v>
      </c>
      <c r="D20" s="35">
        <v>204</v>
      </c>
      <c r="E20" s="36">
        <v>66</v>
      </c>
    </row>
    <row r="21" spans="1:5" x14ac:dyDescent="0.15">
      <c r="A21" s="34" t="s">
        <v>61</v>
      </c>
      <c r="B21" s="35">
        <v>13.5</v>
      </c>
      <c r="C21" s="35">
        <v>719</v>
      </c>
      <c r="D21" s="35">
        <v>146</v>
      </c>
      <c r="E21" s="36">
        <v>39.5</v>
      </c>
    </row>
    <row r="22" spans="1:5" x14ac:dyDescent="0.15">
      <c r="A22" s="34" t="s">
        <v>62</v>
      </c>
      <c r="B22" s="35">
        <v>46</v>
      </c>
      <c r="C22" s="35">
        <v>5.5</v>
      </c>
      <c r="D22" s="35">
        <v>46</v>
      </c>
      <c r="E22" s="36">
        <v>18.5</v>
      </c>
    </row>
    <row r="23" spans="1:5" x14ac:dyDescent="0.15">
      <c r="A23" s="34" t="s">
        <v>63</v>
      </c>
      <c r="B23" s="35">
        <v>45</v>
      </c>
      <c r="C23" s="35">
        <v>136</v>
      </c>
      <c r="D23" s="35">
        <v>32.5</v>
      </c>
      <c r="E23" s="36">
        <v>18</v>
      </c>
    </row>
    <row r="24" spans="1:5" x14ac:dyDescent="0.15">
      <c r="A24" s="37" t="s">
        <v>64</v>
      </c>
      <c r="B24" s="38">
        <v>67</v>
      </c>
      <c r="C24" s="38">
        <v>400.5</v>
      </c>
      <c r="D24" s="38">
        <v>57</v>
      </c>
      <c r="E24" s="39">
        <v>28</v>
      </c>
    </row>
  </sheetData>
  <phoneticPr fontId="3"/>
  <pageMargins left="0.7" right="0.7" top="0.75" bottom="0.75" header="0.3" footer="0.3"/>
  <pageSetup paperSize="9" orientation="portrait" horizontalDpi="300" verticalDpi="300" r:id="rId1"/>
  <headerFooter>
    <oddHeader>&amp;R&amp;"Calibri"&amp;14&amp;KFF0000 L2: Internal use only&amp;1#_x000D_</oddHeader>
  </headerFooter>
</worksheet>
</file>

<file path=docMetadata/LabelInfo.xml><?xml version="1.0" encoding="utf-8"?>
<clbl:labelList xmlns:clbl="http://schemas.microsoft.com/office/2020/mipLabelMetadata">
  <clbl:label id="{ca92b90d-8b2c-464d-94f0-5bcfb983aed4}" enabled="1" method="Standard" siteId="{7e452255-946f-4f17-800a-a0fb6835dc6c}"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CAPACITOR-10-50pF</vt:lpstr>
      <vt:lpstr>Barcode-CAPACITOR-10-50pF</vt:lpstr>
      <vt:lpstr>ControlSizeData</vt:lpstr>
      <vt:lpstr>ControlSizeData sample</vt:lpstr>
      <vt:lpstr>'Barcode-CAPACITOR-10-50pF'!Print_Area</vt:lpstr>
      <vt:lpstr>'CAPACITOR-10-50pF'!Print_Area</vt:lpstr>
    </vt:vector>
  </TitlesOfParts>
  <Company>システム部</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TDK-MCC㈱</dc:creator>
  <cp:lastModifiedBy>Hiroki Watanabe</cp:lastModifiedBy>
  <cp:lastPrinted>2025-11-28T08:17:35Z</cp:lastPrinted>
  <dcterms:created xsi:type="dcterms:W3CDTF">2010-11-22T06:58:09Z</dcterms:created>
  <dcterms:modified xsi:type="dcterms:W3CDTF">2026-02-05T00:59:17Z</dcterms:modified>
</cp:coreProperties>
</file>